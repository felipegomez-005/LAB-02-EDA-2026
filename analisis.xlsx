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Desktop\"/>
    </mc:Choice>
  </mc:AlternateContent>
  <xr:revisionPtr revIDLastSave="0" documentId="13_ncr:1_{8CE943A3-D0F2-48F6-98B1-1534E78EED40}" xr6:coauthVersionLast="47" xr6:coauthVersionMax="47" xr10:uidLastSave="{00000000-0000-0000-0000-000000000000}"/>
  <bookViews>
    <workbookView xWindow="-108" yWindow="-108" windowWidth="23256" windowHeight="12456" activeTab="5" xr2:uid="{6A0FD34F-1F8E-487D-BBAF-A0D55C0B19A1}"/>
  </bookViews>
  <sheets>
    <sheet name="1024" sheetId="7" r:id="rId1"/>
    <sheet name="2048" sheetId="1" r:id="rId2"/>
    <sheet name="4096" sheetId="2" r:id="rId3"/>
    <sheet name="8192" sheetId="3" r:id="rId4"/>
    <sheet name="16384" sheetId="4" r:id="rId5"/>
    <sheet name="32768" sheetId="5" r:id="rId6"/>
    <sheet name="Resumen" sheetId="6" r:id="rId7"/>
  </sheets>
  <definedNames>
    <definedName name="_xlnm._FilterDatabase" localSheetId="2" hidden="1">'4096'!$A$1:$E$101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G4" i="6"/>
  <c r="G5" i="6"/>
  <c r="G6" i="6"/>
  <c r="G7" i="6"/>
  <c r="G3" i="6"/>
  <c r="K5" i="5"/>
  <c r="K6" i="5" s="1"/>
  <c r="J5" i="5"/>
  <c r="I5" i="5"/>
  <c r="I6" i="5" s="1"/>
  <c r="H5" i="5"/>
  <c r="H6" i="5" s="1"/>
  <c r="K4" i="5"/>
  <c r="J4" i="5"/>
  <c r="D7" i="6" s="1"/>
  <c r="I4" i="5"/>
  <c r="C7" i="6" s="1"/>
  <c r="F7" i="6" s="1"/>
  <c r="H4" i="5"/>
  <c r="J6" i="5" s="1" a="1"/>
  <c r="J6" i="5" s="1"/>
  <c r="K3" i="5"/>
  <c r="J3" i="5"/>
  <c r="I3" i="5"/>
  <c r="H3" i="5"/>
  <c r="K2" i="5"/>
  <c r="J2" i="5"/>
  <c r="I2" i="5"/>
  <c r="H2" i="5"/>
  <c r="F4" i="6"/>
  <c r="F5" i="6"/>
  <c r="F6" i="6"/>
  <c r="F3" i="6"/>
  <c r="E6" i="6"/>
  <c r="E5" i="6"/>
  <c r="E4" i="6"/>
  <c r="E3" i="6"/>
  <c r="E2" i="6"/>
  <c r="H3" i="3"/>
  <c r="D6" i="6"/>
  <c r="D5" i="6"/>
  <c r="J4" i="3"/>
  <c r="D2" i="6"/>
  <c r="C6" i="6"/>
  <c r="C5" i="6"/>
  <c r="C4" i="6"/>
  <c r="C3" i="6"/>
  <c r="C2" i="6"/>
  <c r="B6" i="6"/>
  <c r="B5" i="6"/>
  <c r="B4" i="6"/>
  <c r="B3" i="6"/>
  <c r="B2" i="6"/>
  <c r="E7" i="6"/>
  <c r="J6" i="4" a="1"/>
  <c r="J6" i="4" s="1"/>
  <c r="K5" i="4"/>
  <c r="J5" i="4"/>
  <c r="I5" i="4"/>
  <c r="H5" i="4"/>
  <c r="H6" i="4" s="1"/>
  <c r="K4" i="4"/>
  <c r="J4" i="4"/>
  <c r="I4" i="4"/>
  <c r="H4" i="4"/>
  <c r="K3" i="4"/>
  <c r="J3" i="4"/>
  <c r="I3" i="4"/>
  <c r="H3" i="4"/>
  <c r="K2" i="4"/>
  <c r="J2" i="4"/>
  <c r="I2" i="4"/>
  <c r="H2" i="4"/>
  <c r="J6" i="3" a="1"/>
  <c r="J6" i="3" s="1"/>
  <c r="K5" i="3"/>
  <c r="J5" i="3"/>
  <c r="I5" i="3"/>
  <c r="H5" i="3"/>
  <c r="K4" i="3"/>
  <c r="I4" i="3"/>
  <c r="H4" i="3"/>
  <c r="K3" i="3"/>
  <c r="J3" i="3"/>
  <c r="I3" i="3"/>
  <c r="K2" i="3"/>
  <c r="J2" i="3"/>
  <c r="I2" i="3"/>
  <c r="H2" i="3"/>
  <c r="J6" i="2" a="1"/>
  <c r="J6" i="2" s="1"/>
  <c r="K6" i="2"/>
  <c r="K5" i="2"/>
  <c r="J5" i="2"/>
  <c r="I5" i="2"/>
  <c r="I6" i="2" s="1"/>
  <c r="H5" i="2"/>
  <c r="H6" i="2" s="1"/>
  <c r="K4" i="2"/>
  <c r="J4" i="2"/>
  <c r="I4" i="2"/>
  <c r="H4" i="2"/>
  <c r="K3" i="2"/>
  <c r="J3" i="2"/>
  <c r="I3" i="2"/>
  <c r="H3" i="2"/>
  <c r="K2" i="2"/>
  <c r="J2" i="2"/>
  <c r="I2" i="2"/>
  <c r="H2" i="2"/>
  <c r="K5" i="1"/>
  <c r="K6" i="1" s="1"/>
  <c r="J5" i="1"/>
  <c r="I5" i="1"/>
  <c r="I6" i="1" s="1"/>
  <c r="H5" i="1"/>
  <c r="H6" i="1" s="1"/>
  <c r="K4" i="1"/>
  <c r="J4" i="1"/>
  <c r="I4" i="1"/>
  <c r="H4" i="1"/>
  <c r="K3" i="1"/>
  <c r="J3" i="1"/>
  <c r="I3" i="1"/>
  <c r="H3" i="1"/>
  <c r="K2" i="1"/>
  <c r="J2" i="1"/>
  <c r="I2" i="1"/>
  <c r="H2" i="1"/>
  <c r="I2" i="7"/>
  <c r="J2" i="7"/>
  <c r="K2" i="7"/>
  <c r="I3" i="7"/>
  <c r="J3" i="7"/>
  <c r="K3" i="7"/>
  <c r="I4" i="7"/>
  <c r="J4" i="7"/>
  <c r="K4" i="7"/>
  <c r="I5" i="7"/>
  <c r="I6" i="7" s="1"/>
  <c r="J5" i="7"/>
  <c r="J6" i="7" s="1"/>
  <c r="K5" i="7"/>
  <c r="K6" i="7" s="1"/>
  <c r="H6" i="7"/>
  <c r="H5" i="7"/>
  <c r="H4" i="7"/>
  <c r="H3" i="7"/>
  <c r="H2" i="7"/>
  <c r="B7" i="6" l="1"/>
  <c r="K6" i="4"/>
  <c r="I6" i="4"/>
  <c r="I6" i="3"/>
  <c r="H6" i="3"/>
  <c r="K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<sst xmlns="http://schemas.openxmlformats.org/spreadsheetml/2006/main" count="91" uniqueCount="13">
  <si>
    <t>Repeticion</t>
  </si>
  <si>
    <t>PilaPrinceton</t>
  </si>
  <si>
    <t>PilaDeCola</t>
  </si>
  <si>
    <t>ColaPrinceton</t>
  </si>
  <si>
    <t>ColaDePilas</t>
  </si>
  <si>
    <t>Mínimo</t>
  </si>
  <si>
    <t>Máximo</t>
  </si>
  <si>
    <t>Promedio</t>
  </si>
  <si>
    <t>Desv. Estandar</t>
  </si>
  <si>
    <t>Coef. Variación</t>
  </si>
  <si>
    <t>Tamaño N</t>
  </si>
  <si>
    <t>Ratio PilaDeCola</t>
  </si>
  <si>
    <t>Log2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</si>
</sst>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baseline="0"/>
              <a:t>Comparación de Rendimiento Asintótico (Log-Log)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Resumen!$B$1</c:f>
              <c:strCache>
                <c:ptCount val="1"/>
                <c:pt idx="0">
                  <c:v>PilaPrinceton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Resumen!$A$2:$A$7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Resumen!$B$2:$B$7</c:f>
              <c:numCache>
                <c:formatCode>General</c:formatCode>
                <c:ptCount val="6"/>
                <c:pt idx="0">
                  <c:v>9.3749999999999997E-4</c:v>
                </c:pt>
                <c:pt idx="1">
                  <c:v>4.6874999999999998E-4</c:v>
                </c:pt>
                <c:pt idx="2">
                  <c:v>6.2500000000000001E-4</c:v>
                </c:pt>
                <c:pt idx="3">
                  <c:v>9.3749999999999997E-4</c:v>
                </c:pt>
                <c:pt idx="4">
                  <c:v>2.5000000000000001E-3</c:v>
                </c:pt>
                <c:pt idx="5">
                  <c:v>6.7187499999999999E-3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D0-4D1C-A5BB-B92ADE30EB25}"/>
            </c:ext>
          </c:extLst>
        </c:ser>
        <c:ser>
          <c:idx val="1"/>
          <c:order val="1"/>
          <c:tx>
            <c:strRef>
              <c:f>Resumen!$C$1</c:f>
              <c:strCache>
                <c:ptCount val="1"/>
                <c:pt idx="0">
                  <c:v>PilaDeCola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Resumen!$A$2:$A$7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Resumen!$C$2:$C$7</c:f>
              <c:numCache>
                <c:formatCode>General</c:formatCode>
                <c:ptCount val="6"/>
                <c:pt idx="0">
                  <c:v>4.6874999999999998E-3</c:v>
                </c:pt>
                <c:pt idx="1">
                  <c:v>1.1875E-2</c:v>
                </c:pt>
                <c:pt idx="2">
                  <c:v>4.4531250000000001E-2</c:v>
                </c:pt>
                <c:pt idx="3">
                  <c:v>0.16500000000000001</c:v>
                </c:pt>
                <c:pt idx="4">
                  <c:v>0.64968749999999997</c:v>
                </c:pt>
                <c:pt idx="5">
                  <c:v>2.7162500000000001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D0-4D1C-A5BB-B92ADE30EB25}"/>
            </c:ext>
          </c:extLst>
        </c:ser>
        <c:ser>
          <c:idx val="2"/>
          <c:order val="2"/>
          <c:tx>
            <c:strRef>
              <c:f>Resumen!$D$1</c:f>
              <c:strCache>
                <c:ptCount val="1"/>
                <c:pt idx="0">
                  <c:v>ColaPrinceton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Resumen!$A$2:$A$7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Resumen!$D$2:$D$7</c:f>
              <c:numCache>
                <c:formatCode>General</c:formatCode>
                <c:ptCount val="6"/>
                <c:pt idx="0">
                  <c:v>6.2500000000000001E-4</c:v>
                </c:pt>
                <c:pt idx="1">
                  <c:v>1E-4</c:v>
                </c:pt>
                <c:pt idx="2">
                  <c:v>1E-4</c:v>
                </c:pt>
                <c:pt idx="3">
                  <c:v>1.5625E-4</c:v>
                </c:pt>
                <c:pt idx="4">
                  <c:v>3.1250000000000001E-4</c:v>
                </c:pt>
                <c:pt idx="5">
                  <c:v>3.1250000000000001E-4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D0-4D1C-A5BB-B92ADE30EB25}"/>
            </c:ext>
          </c:extLst>
        </c:ser>
        <c:ser>
          <c:idx val="3"/>
          <c:order val="3"/>
          <c:tx>
            <c:strRef>
              <c:f>Resumen!$E$1</c:f>
              <c:strCache>
                <c:ptCount val="1"/>
                <c:pt idx="0">
                  <c:v>ColaDePilas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Resumen!$A$2:$A$7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Resumen!$E$2:$E$7</c:f>
              <c:numCache>
                <c:formatCode>General</c:formatCode>
                <c:ptCount val="6"/>
                <c:pt idx="0">
                  <c:v>1.5625E-4</c:v>
                </c:pt>
                <c:pt idx="1">
                  <c:v>1.5625E-4</c:v>
                </c:pt>
                <c:pt idx="2">
                  <c:v>4.6874999999999998E-4</c:v>
                </c:pt>
                <c:pt idx="3">
                  <c:v>4.6874999999999998E-4</c:v>
                </c:pt>
                <c:pt idx="4">
                  <c:v>3.1250000000000001E-4</c:v>
                </c:pt>
                <c:pt idx="5">
                  <c:v>3.1250000000000001E-4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D0-4D1C-A5BB-B92ADE30E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767968"/>
        <c:axId val="217768448"/>
      </c:scatterChart>
      <c:valAx>
        <c:axId val="217767968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baseline="0"/>
                  <a:t>Tamaño de Datos (N)</a:t>
                </a:r>
                <a:endParaRPr lang="es-CL"/>
              </a:p>
            </c:rich>
          </c:tx>
          <c:layout>
            <c:manualLayout>
              <c:xMode val="edge"/>
              <c:yMode val="edge"/>
              <c:x val="0.43236714489418598"/>
              <c:y val="0.81651812423370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7768448"/>
        <c:crosses val="autoZero"/>
        <c:crossBetween val="midCat"/>
      </c:valAx>
      <c:valAx>
        <c:axId val="217768448"/>
        <c:scaling>
          <c:logBase val="10"/>
          <c:orientation val="minMax"/>
          <c:max val="10000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baseline="0"/>
                  <a:t>Tiempo Promedio (segundos)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776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201282</xdr:colOff>
      <xdr:row>8</xdr:row>
      <xdr:rowOff>130833</xdr:rowOff>
    </xdr:from>
    <xdr:to>
      <xdr:col>8</xdr:col>
      <xdr:colOff>330679</xdr:colOff>
      <xdr:row>25</xdr:row>
      <xdr:rowOff>57508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22DC55-C14C-9149-9DB1-53B1B8E7C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6391-922E-4D30-B026-88B9DB3060F0}">
  <dimension ref="A1:K101"/>
  <sheetViews>
    <sheetView workbookViewId="0">
      <selection activeCell="K4" sqref="K4"/>
    </sheetView>
  </sheetViews>
  <sheetFormatPr baseColWidth="10" defaultRowHeight="14.4" x14ac:dyDescent="0.3"/>
  <cols>
    <col min="6" max="6" width="12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1</v>
      </c>
      <c r="B2">
        <v>3.125E-2</v>
      </c>
      <c r="C2">
        <v>1.5625E-2</v>
      </c>
      <c r="D2">
        <v>0</v>
      </c>
      <c r="E2">
        <v>0</v>
      </c>
      <c r="G2" t="s">
        <v>5</v>
      </c>
      <c r="H2">
        <f>MIN(B2:B101)</f>
        <v>0</v>
      </c>
      <c r="I2">
        <f t="shared" ref="I2:K2" si="0">MIN(C2:C101)</f>
        <v>0</v>
      </c>
      <c r="J2">
        <f t="shared" si="0"/>
        <v>0</v>
      </c>
      <c r="K2">
        <f t="shared" si="0"/>
        <v>0</v>
      </c>
    </row>
    <row r="3" spans="1:11" x14ac:dyDescent="0.3">
      <c r="A3">
        <v>2</v>
      </c>
      <c r="B3">
        <v>0</v>
      </c>
      <c r="C3">
        <v>0</v>
      </c>
      <c r="D3">
        <v>0</v>
      </c>
      <c r="E3">
        <v>0</v>
      </c>
      <c r="G3" t="s">
        <v>6</v>
      </c>
      <c r="H3">
        <f>MAX(B2:B101)</f>
        <v>3.125E-2</v>
      </c>
      <c r="I3">
        <f t="shared" ref="I3:K3" si="1">MAX(C2:C101)</f>
        <v>1.5625E-2</v>
      </c>
      <c r="J3">
        <f t="shared" si="1"/>
        <v>1.5625E-2</v>
      </c>
      <c r="K3">
        <f t="shared" si="1"/>
        <v>1.5625E-2</v>
      </c>
    </row>
    <row r="4" spans="1:11" x14ac:dyDescent="0.3">
      <c r="A4">
        <v>3</v>
      </c>
      <c r="B4">
        <v>0</v>
      </c>
      <c r="C4">
        <v>1.5625E-2</v>
      </c>
      <c r="D4">
        <v>0</v>
      </c>
      <c r="E4">
        <v>0</v>
      </c>
      <c r="G4" t="s">
        <v>7</v>
      </c>
      <c r="H4">
        <f>AVERAGE(B2:B101)</f>
        <v>9.3749999999999997E-4</v>
      </c>
      <c r="I4">
        <f t="shared" ref="I4:K4" si="2">AVERAGE(C2:C101)</f>
        <v>4.6874999999999998E-3</v>
      </c>
      <c r="J4">
        <f t="shared" si="2"/>
        <v>6.2500000000000001E-4</v>
      </c>
      <c r="K4">
        <f t="shared" si="2"/>
        <v>1.5625E-4</v>
      </c>
    </row>
    <row r="5" spans="1:11" x14ac:dyDescent="0.3">
      <c r="A5">
        <v>4</v>
      </c>
      <c r="B5">
        <v>0</v>
      </c>
      <c r="C5">
        <v>1.5625E-2</v>
      </c>
      <c r="D5">
        <v>0</v>
      </c>
      <c r="E5">
        <v>0</v>
      </c>
      <c r="G5" t="s">
        <v>8</v>
      </c>
      <c r="H5">
        <f>_xlfn.STDEV.S(B2:B101)</f>
        <v>4.3405934228658485E-3</v>
      </c>
      <c r="I5">
        <f t="shared" ref="I5:K5" si="3">_xlfn.STDEV.S(C2:C101)</f>
        <v>7.1963466636224731E-3</v>
      </c>
      <c r="J5">
        <f t="shared" si="3"/>
        <v>3.0772872744833182E-3</v>
      </c>
      <c r="K5">
        <f t="shared" si="3"/>
        <v>1.5625000000000001E-3</v>
      </c>
    </row>
    <row r="6" spans="1:11" x14ac:dyDescent="0.3">
      <c r="A6">
        <v>5</v>
      </c>
      <c r="B6">
        <v>0</v>
      </c>
      <c r="C6">
        <v>0</v>
      </c>
      <c r="D6">
        <v>0</v>
      </c>
      <c r="E6">
        <v>0</v>
      </c>
      <c r="G6" t="s">
        <v>9</v>
      </c>
      <c r="H6">
        <f>H5/H4</f>
        <v>4.6299663177235715</v>
      </c>
      <c r="I6">
        <f t="shared" ref="I6:K6" si="4">I5/I4</f>
        <v>1.5352206215727944</v>
      </c>
      <c r="J6">
        <f t="shared" si="4"/>
        <v>4.9236596391733087</v>
      </c>
      <c r="K6">
        <f t="shared" si="4"/>
        <v>10</v>
      </c>
    </row>
    <row r="7" spans="1:11" x14ac:dyDescent="0.3">
      <c r="A7">
        <v>6</v>
      </c>
      <c r="B7">
        <v>0</v>
      </c>
      <c r="C7">
        <v>1.5625E-2</v>
      </c>
      <c r="D7">
        <v>0</v>
      </c>
      <c r="E7">
        <v>0</v>
      </c>
    </row>
    <row r="8" spans="1:11" x14ac:dyDescent="0.3">
      <c r="A8">
        <v>7</v>
      </c>
      <c r="B8">
        <v>0</v>
      </c>
      <c r="C8">
        <v>0</v>
      </c>
      <c r="D8">
        <v>0</v>
      </c>
      <c r="E8">
        <v>0</v>
      </c>
    </row>
    <row r="9" spans="1:11" x14ac:dyDescent="0.3">
      <c r="A9">
        <v>8</v>
      </c>
      <c r="B9">
        <v>0</v>
      </c>
      <c r="C9">
        <v>1.5625E-2</v>
      </c>
      <c r="D9">
        <v>0</v>
      </c>
      <c r="E9">
        <v>0</v>
      </c>
    </row>
    <row r="10" spans="1:11" x14ac:dyDescent="0.3">
      <c r="A10">
        <v>9</v>
      </c>
      <c r="B10">
        <v>0</v>
      </c>
      <c r="C10">
        <v>1.5625E-2</v>
      </c>
      <c r="D10">
        <v>0</v>
      </c>
      <c r="E10">
        <v>0</v>
      </c>
    </row>
    <row r="11" spans="1:11" x14ac:dyDescent="0.3">
      <c r="A11">
        <v>10</v>
      </c>
      <c r="B11">
        <v>0</v>
      </c>
      <c r="C11">
        <v>0</v>
      </c>
      <c r="D11">
        <v>0</v>
      </c>
      <c r="E11">
        <v>0</v>
      </c>
    </row>
    <row r="12" spans="1:11" x14ac:dyDescent="0.3">
      <c r="A12">
        <v>11</v>
      </c>
      <c r="B12">
        <v>0</v>
      </c>
      <c r="C12">
        <v>0</v>
      </c>
      <c r="D12">
        <v>1.5625E-2</v>
      </c>
      <c r="E12">
        <v>0</v>
      </c>
    </row>
    <row r="13" spans="1:11" x14ac:dyDescent="0.3">
      <c r="A13">
        <v>12</v>
      </c>
      <c r="B13">
        <v>0</v>
      </c>
      <c r="C13">
        <v>0</v>
      </c>
      <c r="D13">
        <v>0</v>
      </c>
      <c r="E13">
        <v>0</v>
      </c>
    </row>
    <row r="14" spans="1:11" x14ac:dyDescent="0.3">
      <c r="A14">
        <v>13</v>
      </c>
      <c r="B14">
        <v>0</v>
      </c>
      <c r="C14">
        <v>0</v>
      </c>
      <c r="D14">
        <v>0</v>
      </c>
      <c r="E14">
        <v>0</v>
      </c>
    </row>
    <row r="15" spans="1:11" x14ac:dyDescent="0.3">
      <c r="A15">
        <v>14</v>
      </c>
      <c r="B15">
        <v>1.5625E-2</v>
      </c>
      <c r="C15">
        <v>0</v>
      </c>
      <c r="D15">
        <v>0</v>
      </c>
      <c r="E15">
        <v>0</v>
      </c>
    </row>
    <row r="16" spans="1:11" x14ac:dyDescent="0.3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16</v>
      </c>
      <c r="B17">
        <v>0</v>
      </c>
      <c r="C17">
        <v>1.5625E-2</v>
      </c>
      <c r="D17">
        <v>0</v>
      </c>
      <c r="E17">
        <v>0</v>
      </c>
    </row>
    <row r="18" spans="1:5" x14ac:dyDescent="0.3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18</v>
      </c>
      <c r="B19">
        <v>0</v>
      </c>
      <c r="C19">
        <v>0</v>
      </c>
      <c r="D19">
        <v>1.5625E-2</v>
      </c>
      <c r="E19">
        <v>0</v>
      </c>
    </row>
    <row r="20" spans="1:5" x14ac:dyDescent="0.3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>
        <v>21</v>
      </c>
      <c r="B22">
        <v>0</v>
      </c>
      <c r="C22">
        <v>0</v>
      </c>
      <c r="D22">
        <v>1.5625E-2</v>
      </c>
      <c r="E22">
        <v>0</v>
      </c>
    </row>
    <row r="23" spans="1:5" x14ac:dyDescent="0.3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>
        <v>23</v>
      </c>
      <c r="B24">
        <v>0</v>
      </c>
      <c r="C24">
        <v>0</v>
      </c>
      <c r="D24">
        <v>0</v>
      </c>
      <c r="E24">
        <v>1.5625E-2</v>
      </c>
    </row>
    <row r="25" spans="1:5" x14ac:dyDescent="0.3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>
        <v>29</v>
      </c>
      <c r="B30">
        <v>0</v>
      </c>
      <c r="C30">
        <v>1.5625E-2</v>
      </c>
      <c r="D30">
        <v>0</v>
      </c>
      <c r="E30">
        <v>0</v>
      </c>
    </row>
    <row r="31" spans="1:5" x14ac:dyDescent="0.3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>
        <v>32</v>
      </c>
      <c r="B33">
        <v>0</v>
      </c>
      <c r="C33">
        <v>1.5625E-2</v>
      </c>
      <c r="D33">
        <v>0</v>
      </c>
      <c r="E33">
        <v>0</v>
      </c>
    </row>
    <row r="34" spans="1:5" x14ac:dyDescent="0.3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>
        <v>34</v>
      </c>
      <c r="B35">
        <v>0</v>
      </c>
      <c r="C35">
        <v>1.5625E-2</v>
      </c>
      <c r="D35">
        <v>0</v>
      </c>
      <c r="E35">
        <v>0</v>
      </c>
    </row>
    <row r="36" spans="1:5" x14ac:dyDescent="0.3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>
        <v>36</v>
      </c>
      <c r="B37">
        <v>0</v>
      </c>
      <c r="C37">
        <v>0</v>
      </c>
      <c r="D37">
        <v>1.5625E-2</v>
      </c>
      <c r="E37">
        <v>0</v>
      </c>
    </row>
    <row r="38" spans="1:5" x14ac:dyDescent="0.3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>
        <v>39</v>
      </c>
      <c r="B40">
        <v>0</v>
      </c>
      <c r="C40">
        <v>1.5625E-2</v>
      </c>
      <c r="D40">
        <v>0</v>
      </c>
      <c r="E40">
        <v>0</v>
      </c>
    </row>
    <row r="41" spans="1:5" x14ac:dyDescent="0.3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>
        <v>42</v>
      </c>
      <c r="B43">
        <v>0</v>
      </c>
      <c r="C43">
        <v>1.5625E-2</v>
      </c>
      <c r="D43">
        <v>0</v>
      </c>
      <c r="E43">
        <v>0</v>
      </c>
    </row>
    <row r="44" spans="1:5" x14ac:dyDescent="0.3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>
        <v>45</v>
      </c>
      <c r="B46">
        <v>0</v>
      </c>
      <c r="C46">
        <v>1.5625E-2</v>
      </c>
      <c r="D46">
        <v>0</v>
      </c>
      <c r="E46">
        <v>0</v>
      </c>
    </row>
    <row r="47" spans="1:5" x14ac:dyDescent="0.3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>
        <v>48</v>
      </c>
      <c r="B49">
        <v>0</v>
      </c>
      <c r="C49">
        <v>1.5625E-2</v>
      </c>
      <c r="D49">
        <v>0</v>
      </c>
      <c r="E49">
        <v>0</v>
      </c>
    </row>
    <row r="50" spans="1:5" x14ac:dyDescent="0.3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3">
      <c r="A52">
        <v>51</v>
      </c>
      <c r="B52">
        <v>0</v>
      </c>
      <c r="C52">
        <v>1.5625E-2</v>
      </c>
      <c r="D52">
        <v>0</v>
      </c>
      <c r="E52">
        <v>0</v>
      </c>
    </row>
    <row r="53" spans="1:5" x14ac:dyDescent="0.3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3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3">
      <c r="A55">
        <v>54</v>
      </c>
      <c r="B55">
        <v>0</v>
      </c>
      <c r="C55">
        <v>1.5625E-2</v>
      </c>
      <c r="D55">
        <v>0</v>
      </c>
      <c r="E55">
        <v>0</v>
      </c>
    </row>
    <row r="56" spans="1:5" x14ac:dyDescent="0.3">
      <c r="A56">
        <v>55</v>
      </c>
      <c r="B56">
        <v>0</v>
      </c>
      <c r="C56">
        <v>1.5625E-2</v>
      </c>
      <c r="D56">
        <v>0</v>
      </c>
      <c r="E56">
        <v>0</v>
      </c>
    </row>
    <row r="57" spans="1:5" x14ac:dyDescent="0.3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3">
      <c r="A58">
        <v>57</v>
      </c>
      <c r="B58">
        <v>0</v>
      </c>
      <c r="C58">
        <v>1.5625E-2</v>
      </c>
      <c r="D58">
        <v>0</v>
      </c>
      <c r="E58">
        <v>0</v>
      </c>
    </row>
    <row r="59" spans="1:5" x14ac:dyDescent="0.3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3">
      <c r="A60">
        <v>59</v>
      </c>
      <c r="B60">
        <v>0</v>
      </c>
      <c r="C60">
        <v>1.5625E-2</v>
      </c>
      <c r="D60">
        <v>0</v>
      </c>
      <c r="E60">
        <v>0</v>
      </c>
    </row>
    <row r="61" spans="1:5" x14ac:dyDescent="0.3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3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3">
      <c r="A63">
        <v>62</v>
      </c>
      <c r="B63">
        <v>0</v>
      </c>
      <c r="C63">
        <v>1.5625E-2</v>
      </c>
      <c r="D63">
        <v>0</v>
      </c>
      <c r="E63">
        <v>0</v>
      </c>
    </row>
    <row r="64" spans="1:5" x14ac:dyDescent="0.3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3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3">
      <c r="A66">
        <v>65</v>
      </c>
      <c r="B66">
        <v>0</v>
      </c>
      <c r="C66">
        <v>1.5625E-2</v>
      </c>
      <c r="D66">
        <v>0</v>
      </c>
      <c r="E66">
        <v>0</v>
      </c>
    </row>
    <row r="67" spans="1:5" x14ac:dyDescent="0.3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3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3">
      <c r="A69">
        <v>68</v>
      </c>
      <c r="B69">
        <v>1.5625E-2</v>
      </c>
      <c r="C69">
        <v>0</v>
      </c>
      <c r="D69">
        <v>0</v>
      </c>
      <c r="E69">
        <v>0</v>
      </c>
    </row>
    <row r="70" spans="1:5" x14ac:dyDescent="0.3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3">
      <c r="A71">
        <v>70</v>
      </c>
      <c r="B71">
        <v>0</v>
      </c>
      <c r="C71">
        <v>1.5625E-2</v>
      </c>
      <c r="D71">
        <v>0</v>
      </c>
      <c r="E71">
        <v>0</v>
      </c>
    </row>
    <row r="72" spans="1:5" x14ac:dyDescent="0.3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3">
      <c r="A73">
        <v>72</v>
      </c>
      <c r="B73">
        <v>0</v>
      </c>
      <c r="C73">
        <v>1.5625E-2</v>
      </c>
      <c r="D73">
        <v>0</v>
      </c>
      <c r="E73">
        <v>0</v>
      </c>
    </row>
    <row r="74" spans="1:5" x14ac:dyDescent="0.3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3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3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3">
      <c r="A77">
        <v>76</v>
      </c>
      <c r="B77">
        <v>1.5625E-2</v>
      </c>
      <c r="C77">
        <v>0</v>
      </c>
      <c r="D77">
        <v>0</v>
      </c>
      <c r="E77">
        <v>0</v>
      </c>
    </row>
    <row r="78" spans="1:5" x14ac:dyDescent="0.3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3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3">
      <c r="A80">
        <v>79</v>
      </c>
      <c r="B80">
        <v>0</v>
      </c>
      <c r="C80">
        <v>1.5625E-2</v>
      </c>
      <c r="D80">
        <v>0</v>
      </c>
      <c r="E80">
        <v>0</v>
      </c>
    </row>
    <row r="81" spans="1:5" x14ac:dyDescent="0.3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3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3">
      <c r="A83">
        <v>82</v>
      </c>
      <c r="B83">
        <v>0</v>
      </c>
      <c r="C83">
        <v>1.5625E-2</v>
      </c>
      <c r="D83">
        <v>0</v>
      </c>
      <c r="E83">
        <v>0</v>
      </c>
    </row>
    <row r="84" spans="1:5" x14ac:dyDescent="0.3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3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3">
      <c r="A86">
        <v>85</v>
      </c>
      <c r="B86">
        <v>0</v>
      </c>
      <c r="C86">
        <v>1.5625E-2</v>
      </c>
      <c r="D86">
        <v>0</v>
      </c>
      <c r="E86">
        <v>0</v>
      </c>
    </row>
    <row r="87" spans="1:5" x14ac:dyDescent="0.3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3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3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3">
      <c r="A90">
        <v>89</v>
      </c>
      <c r="B90">
        <v>0</v>
      </c>
      <c r="C90">
        <v>1.5625E-2</v>
      </c>
      <c r="D90">
        <v>0</v>
      </c>
      <c r="E90">
        <v>0</v>
      </c>
    </row>
    <row r="91" spans="1:5" x14ac:dyDescent="0.3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3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3">
      <c r="A93">
        <v>92</v>
      </c>
      <c r="B93">
        <v>0</v>
      </c>
      <c r="C93">
        <v>1.5625E-2</v>
      </c>
      <c r="D93">
        <v>0</v>
      </c>
      <c r="E93">
        <v>0</v>
      </c>
    </row>
    <row r="94" spans="1:5" x14ac:dyDescent="0.3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3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3">
      <c r="A96">
        <v>95</v>
      </c>
      <c r="B96">
        <v>1.5625E-2</v>
      </c>
      <c r="C96">
        <v>0</v>
      </c>
      <c r="D96">
        <v>0</v>
      </c>
      <c r="E96">
        <v>0</v>
      </c>
    </row>
    <row r="97" spans="1:5" x14ac:dyDescent="0.3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3">
      <c r="A98">
        <v>97</v>
      </c>
      <c r="B98">
        <v>0</v>
      </c>
      <c r="C98">
        <v>1.5625E-2</v>
      </c>
      <c r="D98">
        <v>0</v>
      </c>
      <c r="E98">
        <v>0</v>
      </c>
    </row>
    <row r="99" spans="1:5" x14ac:dyDescent="0.3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>
        <v>99</v>
      </c>
      <c r="B100">
        <v>0</v>
      </c>
      <c r="C100">
        <v>1.5625E-2</v>
      </c>
      <c r="D100">
        <v>0</v>
      </c>
      <c r="E100">
        <v>0</v>
      </c>
    </row>
    <row r="101" spans="1:5" x14ac:dyDescent="0.3">
      <c r="A101">
        <v>100</v>
      </c>
      <c r="B101">
        <v>0</v>
      </c>
      <c r="C101">
        <v>0</v>
      </c>
      <c r="D101">
        <v>0</v>
      </c>
      <c r="E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48C4-1B8E-41CB-B8CD-BE44C6DC9AD9}">
  <dimension ref="A1:K101"/>
  <sheetViews>
    <sheetView zoomScale="101" workbookViewId="0">
      <selection activeCell="I18" sqref="I18"/>
    </sheetView>
  </sheetViews>
  <sheetFormatPr baseColWidth="10" defaultRowHeight="14.4" x14ac:dyDescent="0.3"/>
  <cols>
    <col min="6" max="6" width="1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1</v>
      </c>
      <c r="B2">
        <v>0</v>
      </c>
      <c r="C2">
        <v>1.5625E-2</v>
      </c>
      <c r="D2">
        <v>0</v>
      </c>
      <c r="E2">
        <v>0</v>
      </c>
      <c r="G2" t="s">
        <v>5</v>
      </c>
      <c r="H2">
        <f>MIN(B2:B101)</f>
        <v>0</v>
      </c>
      <c r="I2">
        <f t="shared" ref="I2:K2" si="0">MIN(C2:C101)</f>
        <v>0</v>
      </c>
      <c r="J2">
        <f t="shared" si="0"/>
        <v>0</v>
      </c>
      <c r="K2">
        <f t="shared" si="0"/>
        <v>0</v>
      </c>
    </row>
    <row r="3" spans="1:11" x14ac:dyDescent="0.3">
      <c r="A3">
        <v>2</v>
      </c>
      <c r="B3">
        <v>0</v>
      </c>
      <c r="C3">
        <v>1.5625E-2</v>
      </c>
      <c r="D3">
        <v>0</v>
      </c>
      <c r="E3">
        <v>0</v>
      </c>
      <c r="G3" t="s">
        <v>6</v>
      </c>
      <c r="H3">
        <f>MAX(B2:B101)</f>
        <v>1.5625E-2</v>
      </c>
      <c r="I3">
        <f t="shared" ref="I3:K3" si="1">MAX(C2:C101)</f>
        <v>3.125E-2</v>
      </c>
      <c r="J3">
        <f t="shared" si="1"/>
        <v>0</v>
      </c>
      <c r="K3">
        <f t="shared" si="1"/>
        <v>1.5625E-2</v>
      </c>
    </row>
    <row r="4" spans="1:11" x14ac:dyDescent="0.3">
      <c r="A4">
        <v>3</v>
      </c>
      <c r="B4">
        <v>1.5625E-2</v>
      </c>
      <c r="C4">
        <v>0</v>
      </c>
      <c r="D4">
        <v>0</v>
      </c>
      <c r="E4">
        <v>1.5625E-2</v>
      </c>
      <c r="G4" t="s">
        <v>7</v>
      </c>
      <c r="H4">
        <f>AVERAGE(B2:B101)</f>
        <v>4.6874999999999998E-4</v>
      </c>
      <c r="I4">
        <f t="shared" ref="I4:K4" si="2">AVERAGE(C2:C101)</f>
        <v>1.1875E-2</v>
      </c>
      <c r="J4">
        <f t="shared" si="2"/>
        <v>0</v>
      </c>
      <c r="K4">
        <f t="shared" si="2"/>
        <v>1.5625E-4</v>
      </c>
    </row>
    <row r="5" spans="1:11" x14ac:dyDescent="0.3">
      <c r="A5">
        <v>4</v>
      </c>
      <c r="B5">
        <v>0</v>
      </c>
      <c r="C5">
        <v>1.5625E-2</v>
      </c>
      <c r="D5">
        <v>0</v>
      </c>
      <c r="E5">
        <v>0</v>
      </c>
      <c r="G5" t="s">
        <v>8</v>
      </c>
      <c r="H5">
        <f>_xlfn.STDEV.S(B2:B101)</f>
        <v>2.6788532499650826E-3</v>
      </c>
      <c r="I5">
        <f t="shared" ref="I5:K5" si="3">_xlfn.STDEV.S(C2:C101)</f>
        <v>7.0649270657554882E-3</v>
      </c>
      <c r="J5">
        <f t="shared" si="3"/>
        <v>0</v>
      </c>
      <c r="K5">
        <f t="shared" si="3"/>
        <v>1.5625000000000001E-3</v>
      </c>
    </row>
    <row r="6" spans="1:11" x14ac:dyDescent="0.3">
      <c r="A6">
        <v>5</v>
      </c>
      <c r="B6">
        <v>0</v>
      </c>
      <c r="C6">
        <v>1.5625E-2</v>
      </c>
      <c r="D6">
        <v>0</v>
      </c>
      <c r="E6">
        <v>0</v>
      </c>
      <c r="G6" t="s">
        <v>9</v>
      </c>
      <c r="H6">
        <f>H5/H4</f>
        <v>5.7148869332588434</v>
      </c>
      <c r="I6">
        <f t="shared" ref="I6:K6" si="4">I5/I4</f>
        <v>0.59494122658993587</v>
      </c>
      <c r="J6">
        <f>IFERROR(J5/J4, 0)</f>
        <v>0</v>
      </c>
      <c r="K6">
        <f t="shared" si="4"/>
        <v>10</v>
      </c>
    </row>
    <row r="7" spans="1:11" x14ac:dyDescent="0.3">
      <c r="A7">
        <v>6</v>
      </c>
      <c r="B7">
        <v>0</v>
      </c>
      <c r="C7">
        <v>1.5625E-2</v>
      </c>
      <c r="D7">
        <v>0</v>
      </c>
      <c r="E7">
        <v>0</v>
      </c>
    </row>
    <row r="8" spans="1:11" x14ac:dyDescent="0.3">
      <c r="A8">
        <v>7</v>
      </c>
      <c r="B8">
        <v>0</v>
      </c>
      <c r="C8">
        <v>3.125E-2</v>
      </c>
      <c r="D8">
        <v>0</v>
      </c>
      <c r="E8">
        <v>0</v>
      </c>
    </row>
    <row r="9" spans="1:11" x14ac:dyDescent="0.3">
      <c r="A9">
        <v>8</v>
      </c>
      <c r="B9">
        <v>0</v>
      </c>
      <c r="C9">
        <v>1.5625E-2</v>
      </c>
      <c r="D9">
        <v>0</v>
      </c>
      <c r="E9">
        <v>0</v>
      </c>
    </row>
    <row r="10" spans="1:11" x14ac:dyDescent="0.3">
      <c r="A10">
        <v>9</v>
      </c>
      <c r="B10">
        <v>0</v>
      </c>
      <c r="C10">
        <v>1.5625E-2</v>
      </c>
      <c r="D10">
        <v>0</v>
      </c>
      <c r="E10">
        <v>0</v>
      </c>
    </row>
    <row r="11" spans="1:11" x14ac:dyDescent="0.3">
      <c r="A11">
        <v>10</v>
      </c>
      <c r="B11">
        <v>0</v>
      </c>
      <c r="C11">
        <v>1.5625E-2</v>
      </c>
      <c r="D11">
        <v>0</v>
      </c>
      <c r="E11">
        <v>0</v>
      </c>
    </row>
    <row r="12" spans="1:11" x14ac:dyDescent="0.3">
      <c r="A12">
        <v>11</v>
      </c>
      <c r="B12">
        <v>0</v>
      </c>
      <c r="C12">
        <v>1.5625E-2</v>
      </c>
      <c r="D12">
        <v>0</v>
      </c>
      <c r="E12">
        <v>0</v>
      </c>
    </row>
    <row r="13" spans="1:11" x14ac:dyDescent="0.3">
      <c r="A13">
        <v>12</v>
      </c>
      <c r="B13">
        <v>0</v>
      </c>
      <c r="C13">
        <v>1.5625E-2</v>
      </c>
      <c r="D13">
        <v>0</v>
      </c>
      <c r="E13">
        <v>0</v>
      </c>
    </row>
    <row r="14" spans="1:11" x14ac:dyDescent="0.3">
      <c r="A14">
        <v>13</v>
      </c>
      <c r="B14">
        <v>0</v>
      </c>
      <c r="C14">
        <v>1.5625E-2</v>
      </c>
      <c r="D14">
        <v>0</v>
      </c>
      <c r="E14">
        <v>0</v>
      </c>
    </row>
    <row r="15" spans="1:11" x14ac:dyDescent="0.3">
      <c r="A15">
        <v>14</v>
      </c>
      <c r="B15">
        <v>0</v>
      </c>
      <c r="C15">
        <v>1.5625E-2</v>
      </c>
      <c r="D15">
        <v>0</v>
      </c>
      <c r="E15">
        <v>0</v>
      </c>
    </row>
    <row r="16" spans="1:11" x14ac:dyDescent="0.3">
      <c r="A16">
        <v>15</v>
      </c>
      <c r="B16">
        <v>0</v>
      </c>
      <c r="C16">
        <v>1.5625E-2</v>
      </c>
      <c r="D16">
        <v>0</v>
      </c>
      <c r="E16">
        <v>0</v>
      </c>
    </row>
    <row r="17" spans="1:5" x14ac:dyDescent="0.3">
      <c r="A17">
        <v>16</v>
      </c>
      <c r="B17">
        <v>0</v>
      </c>
      <c r="C17">
        <v>1.5625E-2</v>
      </c>
      <c r="D17">
        <v>0</v>
      </c>
      <c r="E17">
        <v>0</v>
      </c>
    </row>
    <row r="18" spans="1:5" x14ac:dyDescent="0.3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18</v>
      </c>
      <c r="B19">
        <v>0</v>
      </c>
      <c r="C19">
        <v>1.5625E-2</v>
      </c>
      <c r="D19">
        <v>0</v>
      </c>
      <c r="E19">
        <v>0</v>
      </c>
    </row>
    <row r="20" spans="1:5" x14ac:dyDescent="0.3">
      <c r="A20">
        <v>19</v>
      </c>
      <c r="B20">
        <v>0</v>
      </c>
      <c r="C20">
        <v>1.5625E-2</v>
      </c>
      <c r="D20">
        <v>0</v>
      </c>
      <c r="E20">
        <v>0</v>
      </c>
    </row>
    <row r="21" spans="1:5" x14ac:dyDescent="0.3">
      <c r="A21">
        <v>20</v>
      </c>
      <c r="B21">
        <v>0</v>
      </c>
      <c r="C21">
        <v>1.5625E-2</v>
      </c>
      <c r="D21">
        <v>0</v>
      </c>
      <c r="E21">
        <v>0</v>
      </c>
    </row>
    <row r="22" spans="1:5" x14ac:dyDescent="0.3">
      <c r="A22">
        <v>21</v>
      </c>
      <c r="B22">
        <v>0</v>
      </c>
      <c r="C22">
        <v>1.5625E-2</v>
      </c>
      <c r="D22">
        <v>0</v>
      </c>
      <c r="E22">
        <v>0</v>
      </c>
    </row>
    <row r="23" spans="1:5" x14ac:dyDescent="0.3">
      <c r="A23">
        <v>22</v>
      </c>
      <c r="B23">
        <v>0</v>
      </c>
      <c r="C23">
        <v>1.5625E-2</v>
      </c>
      <c r="D23">
        <v>0</v>
      </c>
      <c r="E23">
        <v>0</v>
      </c>
    </row>
    <row r="24" spans="1:5" x14ac:dyDescent="0.3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>
        <v>24</v>
      </c>
      <c r="B25">
        <v>0</v>
      </c>
      <c r="C25">
        <v>1.5625E-2</v>
      </c>
      <c r="D25">
        <v>0</v>
      </c>
      <c r="E25">
        <v>0</v>
      </c>
    </row>
    <row r="26" spans="1:5" x14ac:dyDescent="0.3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v>26</v>
      </c>
      <c r="B27">
        <v>0</v>
      </c>
      <c r="C27">
        <v>1.5625E-2</v>
      </c>
      <c r="D27">
        <v>0</v>
      </c>
      <c r="E27">
        <v>0</v>
      </c>
    </row>
    <row r="28" spans="1:5" x14ac:dyDescent="0.3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>
        <v>28</v>
      </c>
      <c r="B29">
        <v>0</v>
      </c>
      <c r="C29">
        <v>1.5625E-2</v>
      </c>
      <c r="D29">
        <v>0</v>
      </c>
      <c r="E29">
        <v>0</v>
      </c>
    </row>
    <row r="30" spans="1:5" x14ac:dyDescent="0.3">
      <c r="A30">
        <v>29</v>
      </c>
      <c r="B30">
        <v>0</v>
      </c>
      <c r="C30">
        <v>1.5625E-2</v>
      </c>
      <c r="D30">
        <v>0</v>
      </c>
      <c r="E30">
        <v>0</v>
      </c>
    </row>
    <row r="31" spans="1:5" x14ac:dyDescent="0.3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>
        <v>31</v>
      </c>
      <c r="B32">
        <v>0</v>
      </c>
      <c r="C32">
        <v>1.5625E-2</v>
      </c>
      <c r="D32">
        <v>0</v>
      </c>
      <c r="E32">
        <v>0</v>
      </c>
    </row>
    <row r="33" spans="1:5" x14ac:dyDescent="0.3">
      <c r="A33">
        <v>32</v>
      </c>
      <c r="B33">
        <v>0</v>
      </c>
      <c r="C33">
        <v>1.5625E-2</v>
      </c>
      <c r="D33">
        <v>0</v>
      </c>
      <c r="E33">
        <v>0</v>
      </c>
    </row>
    <row r="34" spans="1:5" x14ac:dyDescent="0.3">
      <c r="A34">
        <v>33</v>
      </c>
      <c r="B34">
        <v>0</v>
      </c>
      <c r="C34">
        <v>1.5625E-2</v>
      </c>
      <c r="D34">
        <v>0</v>
      </c>
      <c r="E34">
        <v>0</v>
      </c>
    </row>
    <row r="35" spans="1:5" x14ac:dyDescent="0.3">
      <c r="A35">
        <v>34</v>
      </c>
      <c r="B35">
        <v>0</v>
      </c>
      <c r="C35">
        <v>1.5625E-2</v>
      </c>
      <c r="D35">
        <v>0</v>
      </c>
      <c r="E35">
        <v>0</v>
      </c>
    </row>
    <row r="36" spans="1:5" x14ac:dyDescent="0.3">
      <c r="A36">
        <v>35</v>
      </c>
      <c r="B36">
        <v>0</v>
      </c>
      <c r="C36">
        <v>1.5625E-2</v>
      </c>
      <c r="D36">
        <v>0</v>
      </c>
      <c r="E36">
        <v>0</v>
      </c>
    </row>
    <row r="37" spans="1:5" x14ac:dyDescent="0.3">
      <c r="A37">
        <v>36</v>
      </c>
      <c r="B37">
        <v>0</v>
      </c>
      <c r="C37">
        <v>1.5625E-2</v>
      </c>
      <c r="D37">
        <v>0</v>
      </c>
      <c r="E37">
        <v>0</v>
      </c>
    </row>
    <row r="38" spans="1:5" x14ac:dyDescent="0.3">
      <c r="A38">
        <v>37</v>
      </c>
      <c r="B38">
        <v>0</v>
      </c>
      <c r="C38">
        <v>1.5625E-2</v>
      </c>
      <c r="D38">
        <v>0</v>
      </c>
      <c r="E38">
        <v>0</v>
      </c>
    </row>
    <row r="39" spans="1:5" x14ac:dyDescent="0.3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>
        <v>39</v>
      </c>
      <c r="B40">
        <v>0</v>
      </c>
      <c r="C40">
        <v>1.5625E-2</v>
      </c>
      <c r="D40">
        <v>0</v>
      </c>
      <c r="E40">
        <v>0</v>
      </c>
    </row>
    <row r="41" spans="1:5" x14ac:dyDescent="0.3">
      <c r="A41">
        <v>40</v>
      </c>
      <c r="B41">
        <v>0</v>
      </c>
      <c r="C41">
        <v>1.5625E-2</v>
      </c>
      <c r="D41">
        <v>0</v>
      </c>
      <c r="E41">
        <v>0</v>
      </c>
    </row>
    <row r="42" spans="1:5" x14ac:dyDescent="0.3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>
        <v>42</v>
      </c>
      <c r="B43">
        <v>0</v>
      </c>
      <c r="C43">
        <v>1.5625E-2</v>
      </c>
      <c r="D43">
        <v>0</v>
      </c>
      <c r="E43">
        <v>0</v>
      </c>
    </row>
    <row r="44" spans="1:5" x14ac:dyDescent="0.3">
      <c r="A44">
        <v>43</v>
      </c>
      <c r="B44">
        <v>0</v>
      </c>
      <c r="C44">
        <v>1.5625E-2</v>
      </c>
      <c r="D44">
        <v>0</v>
      </c>
      <c r="E44">
        <v>0</v>
      </c>
    </row>
    <row r="45" spans="1:5" x14ac:dyDescent="0.3">
      <c r="A45">
        <v>44</v>
      </c>
      <c r="B45">
        <v>0</v>
      </c>
      <c r="C45">
        <v>1.5625E-2</v>
      </c>
      <c r="D45">
        <v>0</v>
      </c>
      <c r="E45">
        <v>0</v>
      </c>
    </row>
    <row r="46" spans="1:5" x14ac:dyDescent="0.3">
      <c r="A46">
        <v>45</v>
      </c>
      <c r="B46">
        <v>0</v>
      </c>
      <c r="C46">
        <v>1.5625E-2</v>
      </c>
      <c r="D46">
        <v>0</v>
      </c>
      <c r="E46">
        <v>0</v>
      </c>
    </row>
    <row r="47" spans="1:5" x14ac:dyDescent="0.3">
      <c r="A47">
        <v>46</v>
      </c>
      <c r="B47">
        <v>0</v>
      </c>
      <c r="C47">
        <v>1.5625E-2</v>
      </c>
      <c r="D47">
        <v>0</v>
      </c>
      <c r="E47">
        <v>0</v>
      </c>
    </row>
    <row r="48" spans="1:5" x14ac:dyDescent="0.3">
      <c r="A48">
        <v>47</v>
      </c>
      <c r="B48">
        <v>0</v>
      </c>
      <c r="C48">
        <v>1.5625E-2</v>
      </c>
      <c r="D48">
        <v>0</v>
      </c>
      <c r="E48">
        <v>0</v>
      </c>
    </row>
    <row r="49" spans="1:5" x14ac:dyDescent="0.3">
      <c r="A49">
        <v>48</v>
      </c>
      <c r="B49">
        <v>0</v>
      </c>
      <c r="C49">
        <v>1.5625E-2</v>
      </c>
      <c r="D49">
        <v>0</v>
      </c>
      <c r="E49">
        <v>0</v>
      </c>
    </row>
    <row r="50" spans="1:5" x14ac:dyDescent="0.3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>
        <v>50</v>
      </c>
      <c r="B51">
        <v>0</v>
      </c>
      <c r="C51">
        <v>1.5625E-2</v>
      </c>
      <c r="D51">
        <v>0</v>
      </c>
      <c r="E51">
        <v>0</v>
      </c>
    </row>
    <row r="52" spans="1:5" x14ac:dyDescent="0.3">
      <c r="A52">
        <v>51</v>
      </c>
      <c r="B52">
        <v>0</v>
      </c>
      <c r="C52">
        <v>1.5625E-2</v>
      </c>
      <c r="D52">
        <v>0</v>
      </c>
      <c r="E52">
        <v>0</v>
      </c>
    </row>
    <row r="53" spans="1:5" x14ac:dyDescent="0.3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3">
      <c r="A54">
        <v>53</v>
      </c>
      <c r="B54">
        <v>1.5625E-2</v>
      </c>
      <c r="C54">
        <v>0</v>
      </c>
      <c r="D54">
        <v>0</v>
      </c>
      <c r="E54">
        <v>0</v>
      </c>
    </row>
    <row r="55" spans="1:5" x14ac:dyDescent="0.3">
      <c r="A55">
        <v>54</v>
      </c>
      <c r="B55">
        <v>0</v>
      </c>
      <c r="C55">
        <v>1.5625E-2</v>
      </c>
      <c r="D55">
        <v>0</v>
      </c>
      <c r="E55">
        <v>0</v>
      </c>
    </row>
    <row r="56" spans="1:5" x14ac:dyDescent="0.3">
      <c r="A56">
        <v>55</v>
      </c>
      <c r="B56">
        <v>0</v>
      </c>
      <c r="C56">
        <v>1.5625E-2</v>
      </c>
      <c r="D56">
        <v>0</v>
      </c>
      <c r="E56">
        <v>0</v>
      </c>
    </row>
    <row r="57" spans="1:5" x14ac:dyDescent="0.3">
      <c r="A57">
        <v>56</v>
      </c>
      <c r="B57">
        <v>0</v>
      </c>
      <c r="C57">
        <v>1.5625E-2</v>
      </c>
      <c r="D57">
        <v>0</v>
      </c>
      <c r="E57">
        <v>0</v>
      </c>
    </row>
    <row r="58" spans="1:5" x14ac:dyDescent="0.3">
      <c r="A58">
        <v>57</v>
      </c>
      <c r="B58">
        <v>0</v>
      </c>
      <c r="C58">
        <v>1.5625E-2</v>
      </c>
      <c r="D58">
        <v>0</v>
      </c>
      <c r="E58">
        <v>0</v>
      </c>
    </row>
    <row r="59" spans="1:5" x14ac:dyDescent="0.3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3">
      <c r="A60">
        <v>59</v>
      </c>
      <c r="B60">
        <v>0</v>
      </c>
      <c r="C60">
        <v>1.5625E-2</v>
      </c>
      <c r="D60">
        <v>0</v>
      </c>
      <c r="E60">
        <v>0</v>
      </c>
    </row>
    <row r="61" spans="1:5" x14ac:dyDescent="0.3">
      <c r="A61">
        <v>60</v>
      </c>
      <c r="B61">
        <v>0</v>
      </c>
      <c r="C61">
        <v>1.5625E-2</v>
      </c>
      <c r="D61">
        <v>0</v>
      </c>
      <c r="E61">
        <v>0</v>
      </c>
    </row>
    <row r="62" spans="1:5" x14ac:dyDescent="0.3">
      <c r="A62">
        <v>61</v>
      </c>
      <c r="B62">
        <v>0</v>
      </c>
      <c r="C62">
        <v>1.5625E-2</v>
      </c>
      <c r="D62">
        <v>0</v>
      </c>
      <c r="E62">
        <v>0</v>
      </c>
    </row>
    <row r="63" spans="1:5" x14ac:dyDescent="0.3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3">
      <c r="A64">
        <v>63</v>
      </c>
      <c r="B64">
        <v>0</v>
      </c>
      <c r="C64">
        <v>1.5625E-2</v>
      </c>
      <c r="D64">
        <v>0</v>
      </c>
      <c r="E64">
        <v>0</v>
      </c>
    </row>
    <row r="65" spans="1:5" x14ac:dyDescent="0.3">
      <c r="A65">
        <v>64</v>
      </c>
      <c r="B65">
        <v>0</v>
      </c>
      <c r="C65">
        <v>1.5625E-2</v>
      </c>
      <c r="D65">
        <v>0</v>
      </c>
      <c r="E65">
        <v>0</v>
      </c>
    </row>
    <row r="66" spans="1:5" x14ac:dyDescent="0.3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3">
      <c r="A67">
        <v>66</v>
      </c>
      <c r="B67">
        <v>0</v>
      </c>
      <c r="C67">
        <v>1.5625E-2</v>
      </c>
      <c r="D67">
        <v>0</v>
      </c>
      <c r="E67">
        <v>0</v>
      </c>
    </row>
    <row r="68" spans="1:5" x14ac:dyDescent="0.3">
      <c r="A68">
        <v>67</v>
      </c>
      <c r="B68">
        <v>0</v>
      </c>
      <c r="C68">
        <v>1.5625E-2</v>
      </c>
      <c r="D68">
        <v>0</v>
      </c>
      <c r="E68">
        <v>0</v>
      </c>
    </row>
    <row r="69" spans="1:5" x14ac:dyDescent="0.3">
      <c r="A69">
        <v>68</v>
      </c>
      <c r="B69">
        <v>0</v>
      </c>
      <c r="C69">
        <v>1.5625E-2</v>
      </c>
      <c r="D69">
        <v>0</v>
      </c>
      <c r="E69">
        <v>0</v>
      </c>
    </row>
    <row r="70" spans="1:5" x14ac:dyDescent="0.3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3">
      <c r="A71">
        <v>70</v>
      </c>
      <c r="B71">
        <v>0</v>
      </c>
      <c r="C71">
        <v>1.5625E-2</v>
      </c>
      <c r="D71">
        <v>0</v>
      </c>
      <c r="E71">
        <v>0</v>
      </c>
    </row>
    <row r="72" spans="1:5" x14ac:dyDescent="0.3">
      <c r="A72">
        <v>71</v>
      </c>
      <c r="B72">
        <v>0</v>
      </c>
      <c r="C72">
        <v>1.5625E-2</v>
      </c>
      <c r="D72">
        <v>0</v>
      </c>
      <c r="E72">
        <v>0</v>
      </c>
    </row>
    <row r="73" spans="1:5" x14ac:dyDescent="0.3">
      <c r="A73">
        <v>72</v>
      </c>
      <c r="B73">
        <v>0</v>
      </c>
      <c r="C73">
        <v>1.5625E-2</v>
      </c>
      <c r="D73">
        <v>0</v>
      </c>
      <c r="E73">
        <v>0</v>
      </c>
    </row>
    <row r="74" spans="1:5" x14ac:dyDescent="0.3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3">
      <c r="A75">
        <v>74</v>
      </c>
      <c r="B75">
        <v>0</v>
      </c>
      <c r="C75">
        <v>1.5625E-2</v>
      </c>
      <c r="D75">
        <v>0</v>
      </c>
      <c r="E75">
        <v>0</v>
      </c>
    </row>
    <row r="76" spans="1:5" x14ac:dyDescent="0.3">
      <c r="A76">
        <v>75</v>
      </c>
      <c r="B76">
        <v>0</v>
      </c>
      <c r="C76">
        <v>1.5625E-2</v>
      </c>
      <c r="D76">
        <v>0</v>
      </c>
      <c r="E76">
        <v>0</v>
      </c>
    </row>
    <row r="77" spans="1:5" x14ac:dyDescent="0.3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3">
      <c r="A78">
        <v>77</v>
      </c>
      <c r="B78">
        <v>0</v>
      </c>
      <c r="C78">
        <v>1.5625E-2</v>
      </c>
      <c r="D78">
        <v>0</v>
      </c>
      <c r="E78">
        <v>0</v>
      </c>
    </row>
    <row r="79" spans="1:5" x14ac:dyDescent="0.3">
      <c r="A79">
        <v>78</v>
      </c>
      <c r="B79">
        <v>0</v>
      </c>
      <c r="C79">
        <v>1.5625E-2</v>
      </c>
      <c r="D79">
        <v>0</v>
      </c>
      <c r="E79">
        <v>0</v>
      </c>
    </row>
    <row r="80" spans="1:5" x14ac:dyDescent="0.3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3">
      <c r="A81">
        <v>80</v>
      </c>
      <c r="B81">
        <v>1.5625E-2</v>
      </c>
      <c r="C81">
        <v>0</v>
      </c>
      <c r="D81">
        <v>0</v>
      </c>
      <c r="E81">
        <v>0</v>
      </c>
    </row>
    <row r="82" spans="1:5" x14ac:dyDescent="0.3">
      <c r="A82">
        <v>81</v>
      </c>
      <c r="B82">
        <v>0</v>
      </c>
      <c r="C82">
        <v>1.5625E-2</v>
      </c>
      <c r="D82">
        <v>0</v>
      </c>
      <c r="E82">
        <v>0</v>
      </c>
    </row>
    <row r="83" spans="1:5" x14ac:dyDescent="0.3">
      <c r="A83">
        <v>82</v>
      </c>
      <c r="B83">
        <v>0</v>
      </c>
      <c r="C83">
        <v>1.5625E-2</v>
      </c>
      <c r="D83">
        <v>0</v>
      </c>
      <c r="E83">
        <v>0</v>
      </c>
    </row>
    <row r="84" spans="1:5" x14ac:dyDescent="0.3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3">
      <c r="A85">
        <v>84</v>
      </c>
      <c r="B85">
        <v>0</v>
      </c>
      <c r="C85">
        <v>1.5625E-2</v>
      </c>
      <c r="D85">
        <v>0</v>
      </c>
      <c r="E85">
        <v>0</v>
      </c>
    </row>
    <row r="86" spans="1:5" x14ac:dyDescent="0.3">
      <c r="A86">
        <v>85</v>
      </c>
      <c r="B86">
        <v>0</v>
      </c>
      <c r="C86">
        <v>1.5625E-2</v>
      </c>
      <c r="D86">
        <v>0</v>
      </c>
      <c r="E86">
        <v>0</v>
      </c>
    </row>
    <row r="87" spans="1:5" x14ac:dyDescent="0.3">
      <c r="A87">
        <v>86</v>
      </c>
      <c r="B87">
        <v>0</v>
      </c>
      <c r="C87">
        <v>1.5625E-2</v>
      </c>
      <c r="D87">
        <v>0</v>
      </c>
      <c r="E87">
        <v>0</v>
      </c>
    </row>
    <row r="88" spans="1:5" x14ac:dyDescent="0.3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3">
      <c r="A89">
        <v>88</v>
      </c>
      <c r="B89">
        <v>0</v>
      </c>
      <c r="C89">
        <v>1.5625E-2</v>
      </c>
      <c r="D89">
        <v>0</v>
      </c>
      <c r="E89">
        <v>0</v>
      </c>
    </row>
    <row r="90" spans="1:5" x14ac:dyDescent="0.3">
      <c r="A90">
        <v>89</v>
      </c>
      <c r="B90">
        <v>0</v>
      </c>
      <c r="C90">
        <v>1.5625E-2</v>
      </c>
      <c r="D90">
        <v>0</v>
      </c>
      <c r="E90">
        <v>0</v>
      </c>
    </row>
    <row r="91" spans="1:5" x14ac:dyDescent="0.3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3">
      <c r="A92">
        <v>91</v>
      </c>
      <c r="B92">
        <v>0</v>
      </c>
      <c r="C92">
        <v>1.5625E-2</v>
      </c>
      <c r="D92">
        <v>0</v>
      </c>
      <c r="E92">
        <v>0</v>
      </c>
    </row>
    <row r="93" spans="1:5" x14ac:dyDescent="0.3">
      <c r="A93">
        <v>92</v>
      </c>
      <c r="B93">
        <v>0</v>
      </c>
      <c r="C93">
        <v>1.5625E-2</v>
      </c>
      <c r="D93">
        <v>0</v>
      </c>
      <c r="E93">
        <v>0</v>
      </c>
    </row>
    <row r="94" spans="1:5" x14ac:dyDescent="0.3">
      <c r="A94">
        <v>93</v>
      </c>
      <c r="B94">
        <v>0</v>
      </c>
      <c r="C94">
        <v>1.5625E-2</v>
      </c>
      <c r="D94">
        <v>0</v>
      </c>
      <c r="E94">
        <v>0</v>
      </c>
    </row>
    <row r="95" spans="1:5" x14ac:dyDescent="0.3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3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3">
      <c r="A97">
        <v>96</v>
      </c>
      <c r="B97">
        <v>0</v>
      </c>
      <c r="C97">
        <v>1.5625E-2</v>
      </c>
      <c r="D97">
        <v>0</v>
      </c>
      <c r="E97">
        <v>0</v>
      </c>
    </row>
    <row r="98" spans="1:5" x14ac:dyDescent="0.3">
      <c r="A98">
        <v>97</v>
      </c>
      <c r="B98">
        <v>0</v>
      </c>
      <c r="C98">
        <v>1.5625E-2</v>
      </c>
      <c r="D98">
        <v>0</v>
      </c>
      <c r="E98">
        <v>0</v>
      </c>
    </row>
    <row r="99" spans="1:5" x14ac:dyDescent="0.3">
      <c r="A99">
        <v>98</v>
      </c>
      <c r="B99">
        <v>0</v>
      </c>
      <c r="C99">
        <v>1.5625E-2</v>
      </c>
      <c r="D99">
        <v>0</v>
      </c>
      <c r="E99">
        <v>0</v>
      </c>
    </row>
    <row r="100" spans="1:5" x14ac:dyDescent="0.3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>
        <v>100</v>
      </c>
      <c r="B101">
        <v>0</v>
      </c>
      <c r="C101">
        <v>1.5625E-2</v>
      </c>
      <c r="D101">
        <v>0</v>
      </c>
      <c r="E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F0D1-2A68-4F32-B755-051CBBE324D9}">
  <dimension ref="A1:K101"/>
  <sheetViews>
    <sheetView workbookViewId="0">
      <selection activeCell="G6" sqref="G6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1</v>
      </c>
      <c r="B2">
        <v>0</v>
      </c>
      <c r="C2">
        <v>6.25E-2</v>
      </c>
      <c r="D2">
        <v>0</v>
      </c>
      <c r="E2">
        <v>0</v>
      </c>
      <c r="G2" t="s">
        <v>5</v>
      </c>
      <c r="H2">
        <f>MIN(B2:B101)</f>
        <v>0</v>
      </c>
      <c r="I2">
        <f t="shared" ref="I2:K2" si="0">MIN(C2:C101)</f>
        <v>3.125E-2</v>
      </c>
      <c r="J2">
        <f t="shared" si="0"/>
        <v>0</v>
      </c>
      <c r="K2">
        <f t="shared" si="0"/>
        <v>0</v>
      </c>
    </row>
    <row r="3" spans="1:11" x14ac:dyDescent="0.3">
      <c r="A3">
        <v>2</v>
      </c>
      <c r="B3">
        <v>0</v>
      </c>
      <c r="C3">
        <v>4.6875E-2</v>
      </c>
      <c r="D3">
        <v>0</v>
      </c>
      <c r="E3">
        <v>0</v>
      </c>
      <c r="G3" t="s">
        <v>6</v>
      </c>
      <c r="H3">
        <f>MAX(B2:B101)</f>
        <v>1.5625E-2</v>
      </c>
      <c r="I3">
        <f t="shared" ref="I3:K3" si="1">MAX(C2:C101)</f>
        <v>6.25E-2</v>
      </c>
      <c r="J3">
        <f t="shared" si="1"/>
        <v>0</v>
      </c>
      <c r="K3">
        <f t="shared" si="1"/>
        <v>1.5625E-2</v>
      </c>
    </row>
    <row r="4" spans="1:11" x14ac:dyDescent="0.3">
      <c r="A4">
        <v>3</v>
      </c>
      <c r="B4">
        <v>0</v>
      </c>
      <c r="C4">
        <v>3.125E-2</v>
      </c>
      <c r="D4">
        <v>0</v>
      </c>
      <c r="E4">
        <v>0</v>
      </c>
      <c r="G4" t="s">
        <v>7</v>
      </c>
      <c r="H4">
        <f>AVERAGE(B2:B101)</f>
        <v>6.2500000000000001E-4</v>
      </c>
      <c r="I4">
        <f t="shared" ref="I4:K4" si="2">AVERAGE(C2:C101)</f>
        <v>4.4531250000000001E-2</v>
      </c>
      <c r="J4">
        <f t="shared" si="2"/>
        <v>0</v>
      </c>
      <c r="K4">
        <f t="shared" si="2"/>
        <v>4.6874999999999998E-4</v>
      </c>
    </row>
    <row r="5" spans="1:11" x14ac:dyDescent="0.3">
      <c r="A5">
        <v>4</v>
      </c>
      <c r="B5">
        <v>0</v>
      </c>
      <c r="C5">
        <v>4.6875E-2</v>
      </c>
      <c r="D5">
        <v>0</v>
      </c>
      <c r="E5">
        <v>0</v>
      </c>
      <c r="G5" t="s">
        <v>8</v>
      </c>
      <c r="H5">
        <f>_xlfn.STDEV.S(B2:B101)</f>
        <v>3.0772872744833182E-3</v>
      </c>
      <c r="I5">
        <f t="shared" ref="I5:K5" si="3">_xlfn.STDEV.S(C2:C101)</f>
        <v>8.7081317034798864E-3</v>
      </c>
      <c r="J5">
        <f t="shared" si="3"/>
        <v>0</v>
      </c>
      <c r="K5">
        <f t="shared" si="3"/>
        <v>2.6788532499650826E-3</v>
      </c>
    </row>
    <row r="6" spans="1:11" x14ac:dyDescent="0.3">
      <c r="A6">
        <v>5</v>
      </c>
      <c r="B6">
        <v>0</v>
      </c>
      <c r="C6">
        <v>3.125E-2</v>
      </c>
      <c r="D6">
        <v>0</v>
      </c>
      <c r="E6">
        <v>0</v>
      </c>
      <c r="G6" t="s">
        <v>9</v>
      </c>
      <c r="H6">
        <f>H5/H4</f>
        <v>4.9236596391733087</v>
      </c>
      <c r="I6">
        <f t="shared" ref="I6" si="4">I5/I4</f>
        <v>0.19555102772726762</v>
      </c>
      <c r="J6" cm="1">
        <f t="array" ref="J6">IFERROR(J7H5/H4, 0)</f>
        <v>0</v>
      </c>
      <c r="K6">
        <f>K5/K4</f>
        <v>5.7148869332588434</v>
      </c>
    </row>
    <row r="7" spans="1:11" x14ac:dyDescent="0.3">
      <c r="A7">
        <v>6</v>
      </c>
      <c r="B7">
        <v>0</v>
      </c>
      <c r="C7">
        <v>4.6875E-2</v>
      </c>
      <c r="D7">
        <v>0</v>
      </c>
      <c r="E7">
        <v>0</v>
      </c>
    </row>
    <row r="8" spans="1:11" x14ac:dyDescent="0.3">
      <c r="A8">
        <v>7</v>
      </c>
      <c r="B8">
        <v>0</v>
      </c>
      <c r="C8">
        <v>4.6875E-2</v>
      </c>
      <c r="D8">
        <v>0</v>
      </c>
      <c r="E8">
        <v>0</v>
      </c>
    </row>
    <row r="9" spans="1:11" x14ac:dyDescent="0.3">
      <c r="A9">
        <v>8</v>
      </c>
      <c r="B9">
        <v>0</v>
      </c>
      <c r="C9">
        <v>4.6875E-2</v>
      </c>
      <c r="D9">
        <v>0</v>
      </c>
      <c r="E9">
        <v>0</v>
      </c>
    </row>
    <row r="10" spans="1:11" x14ac:dyDescent="0.3">
      <c r="A10">
        <v>9</v>
      </c>
      <c r="B10">
        <v>0</v>
      </c>
      <c r="C10">
        <v>4.6875E-2</v>
      </c>
      <c r="D10">
        <v>0</v>
      </c>
      <c r="E10">
        <v>0</v>
      </c>
    </row>
    <row r="11" spans="1:11" x14ac:dyDescent="0.3">
      <c r="A11">
        <v>10</v>
      </c>
      <c r="B11">
        <v>0</v>
      </c>
      <c r="C11">
        <v>4.6875E-2</v>
      </c>
      <c r="D11">
        <v>0</v>
      </c>
      <c r="E11">
        <v>0</v>
      </c>
    </row>
    <row r="12" spans="1:11" x14ac:dyDescent="0.3">
      <c r="A12">
        <v>11</v>
      </c>
      <c r="B12">
        <v>0</v>
      </c>
      <c r="C12">
        <v>4.6875E-2</v>
      </c>
      <c r="D12">
        <v>0</v>
      </c>
      <c r="E12">
        <v>0</v>
      </c>
    </row>
    <row r="13" spans="1:11" x14ac:dyDescent="0.3">
      <c r="A13">
        <v>12</v>
      </c>
      <c r="B13">
        <v>0</v>
      </c>
      <c r="C13">
        <v>4.6875E-2</v>
      </c>
      <c r="D13">
        <v>0</v>
      </c>
      <c r="E13">
        <v>0</v>
      </c>
    </row>
    <row r="14" spans="1:11" x14ac:dyDescent="0.3">
      <c r="A14">
        <v>13</v>
      </c>
      <c r="B14">
        <v>0</v>
      </c>
      <c r="C14">
        <v>4.6875E-2</v>
      </c>
      <c r="D14">
        <v>0</v>
      </c>
      <c r="E14">
        <v>0</v>
      </c>
    </row>
    <row r="15" spans="1:11" x14ac:dyDescent="0.3">
      <c r="A15">
        <v>14</v>
      </c>
      <c r="B15">
        <v>0</v>
      </c>
      <c r="C15">
        <v>4.6875E-2</v>
      </c>
      <c r="D15">
        <v>0</v>
      </c>
      <c r="E15">
        <v>0</v>
      </c>
    </row>
    <row r="16" spans="1:11" x14ac:dyDescent="0.3">
      <c r="A16">
        <v>15</v>
      </c>
      <c r="B16">
        <v>1.5625E-2</v>
      </c>
      <c r="C16">
        <v>3.125E-2</v>
      </c>
      <c r="D16">
        <v>0</v>
      </c>
      <c r="E16">
        <v>1.5625E-2</v>
      </c>
    </row>
    <row r="17" spans="1:5" x14ac:dyDescent="0.3">
      <c r="A17">
        <v>16</v>
      </c>
      <c r="B17">
        <v>0</v>
      </c>
      <c r="C17">
        <v>3.125E-2</v>
      </c>
      <c r="D17">
        <v>0</v>
      </c>
      <c r="E17">
        <v>0</v>
      </c>
    </row>
    <row r="18" spans="1:5" x14ac:dyDescent="0.3">
      <c r="A18">
        <v>17</v>
      </c>
      <c r="B18">
        <v>0</v>
      </c>
      <c r="C18">
        <v>4.6875E-2</v>
      </c>
      <c r="D18">
        <v>0</v>
      </c>
      <c r="E18">
        <v>0</v>
      </c>
    </row>
    <row r="19" spans="1:5" x14ac:dyDescent="0.3">
      <c r="A19">
        <v>18</v>
      </c>
      <c r="B19">
        <v>0</v>
      </c>
      <c r="C19">
        <v>6.25E-2</v>
      </c>
      <c r="D19">
        <v>0</v>
      </c>
      <c r="E19">
        <v>0</v>
      </c>
    </row>
    <row r="20" spans="1:5" x14ac:dyDescent="0.3">
      <c r="A20">
        <v>19</v>
      </c>
      <c r="B20">
        <v>0</v>
      </c>
      <c r="C20">
        <v>3.125E-2</v>
      </c>
      <c r="D20">
        <v>0</v>
      </c>
      <c r="E20">
        <v>0</v>
      </c>
    </row>
    <row r="21" spans="1:5" x14ac:dyDescent="0.3">
      <c r="A21">
        <v>20</v>
      </c>
      <c r="B21">
        <v>0</v>
      </c>
      <c r="C21">
        <v>4.6875E-2</v>
      </c>
      <c r="D21">
        <v>0</v>
      </c>
      <c r="E21">
        <v>0</v>
      </c>
    </row>
    <row r="22" spans="1:5" x14ac:dyDescent="0.3">
      <c r="A22">
        <v>21</v>
      </c>
      <c r="B22">
        <v>0</v>
      </c>
      <c r="C22">
        <v>4.6875E-2</v>
      </c>
      <c r="D22">
        <v>0</v>
      </c>
      <c r="E22">
        <v>0</v>
      </c>
    </row>
    <row r="23" spans="1:5" x14ac:dyDescent="0.3">
      <c r="A23">
        <v>22</v>
      </c>
      <c r="B23">
        <v>0</v>
      </c>
      <c r="C23">
        <v>4.6875E-2</v>
      </c>
      <c r="D23">
        <v>0</v>
      </c>
      <c r="E23">
        <v>0</v>
      </c>
    </row>
    <row r="24" spans="1:5" x14ac:dyDescent="0.3">
      <c r="A24">
        <v>23</v>
      </c>
      <c r="B24">
        <v>0</v>
      </c>
      <c r="C24">
        <v>4.6875E-2</v>
      </c>
      <c r="D24">
        <v>0</v>
      </c>
      <c r="E24">
        <v>0</v>
      </c>
    </row>
    <row r="25" spans="1:5" x14ac:dyDescent="0.3">
      <c r="A25">
        <v>24</v>
      </c>
      <c r="B25">
        <v>0</v>
      </c>
      <c r="C25">
        <v>4.6875E-2</v>
      </c>
      <c r="D25">
        <v>0</v>
      </c>
      <c r="E25">
        <v>0</v>
      </c>
    </row>
    <row r="26" spans="1:5" x14ac:dyDescent="0.3">
      <c r="A26">
        <v>25</v>
      </c>
      <c r="B26">
        <v>0</v>
      </c>
      <c r="C26">
        <v>4.6875E-2</v>
      </c>
      <c r="D26">
        <v>0</v>
      </c>
      <c r="E26">
        <v>0</v>
      </c>
    </row>
    <row r="27" spans="1:5" x14ac:dyDescent="0.3">
      <c r="A27">
        <v>26</v>
      </c>
      <c r="B27">
        <v>0</v>
      </c>
      <c r="C27">
        <v>4.6875E-2</v>
      </c>
      <c r="D27">
        <v>0</v>
      </c>
      <c r="E27">
        <v>0</v>
      </c>
    </row>
    <row r="28" spans="1:5" x14ac:dyDescent="0.3">
      <c r="A28">
        <v>27</v>
      </c>
      <c r="B28">
        <v>0</v>
      </c>
      <c r="C28">
        <v>3.125E-2</v>
      </c>
      <c r="D28">
        <v>0</v>
      </c>
      <c r="E28">
        <v>0</v>
      </c>
    </row>
    <row r="29" spans="1:5" x14ac:dyDescent="0.3">
      <c r="A29">
        <v>28</v>
      </c>
      <c r="B29">
        <v>0</v>
      </c>
      <c r="C29">
        <v>6.25E-2</v>
      </c>
      <c r="D29">
        <v>0</v>
      </c>
      <c r="E29">
        <v>0</v>
      </c>
    </row>
    <row r="30" spans="1:5" x14ac:dyDescent="0.3">
      <c r="A30">
        <v>29</v>
      </c>
      <c r="B30">
        <v>0</v>
      </c>
      <c r="C30">
        <v>6.25E-2</v>
      </c>
      <c r="D30">
        <v>0</v>
      </c>
      <c r="E30">
        <v>0</v>
      </c>
    </row>
    <row r="31" spans="1:5" x14ac:dyDescent="0.3">
      <c r="A31">
        <v>30</v>
      </c>
      <c r="B31">
        <v>0</v>
      </c>
      <c r="C31">
        <v>4.6875E-2</v>
      </c>
      <c r="D31">
        <v>0</v>
      </c>
      <c r="E31">
        <v>1.5625E-2</v>
      </c>
    </row>
    <row r="32" spans="1:5" x14ac:dyDescent="0.3">
      <c r="A32">
        <v>31</v>
      </c>
      <c r="B32">
        <v>0</v>
      </c>
      <c r="C32">
        <v>3.125E-2</v>
      </c>
      <c r="D32">
        <v>0</v>
      </c>
      <c r="E32">
        <v>0</v>
      </c>
    </row>
    <row r="33" spans="1:5" x14ac:dyDescent="0.3">
      <c r="A33">
        <v>32</v>
      </c>
      <c r="B33">
        <v>0</v>
      </c>
      <c r="C33">
        <v>4.6875E-2</v>
      </c>
      <c r="D33">
        <v>0</v>
      </c>
      <c r="E33">
        <v>0</v>
      </c>
    </row>
    <row r="34" spans="1:5" x14ac:dyDescent="0.3">
      <c r="A34">
        <v>33</v>
      </c>
      <c r="B34">
        <v>0</v>
      </c>
      <c r="C34">
        <v>4.6875E-2</v>
      </c>
      <c r="D34">
        <v>0</v>
      </c>
      <c r="E34">
        <v>0</v>
      </c>
    </row>
    <row r="35" spans="1:5" x14ac:dyDescent="0.3">
      <c r="A35">
        <v>34</v>
      </c>
      <c r="B35">
        <v>1.5625E-2</v>
      </c>
      <c r="C35">
        <v>4.6875E-2</v>
      </c>
      <c r="D35">
        <v>0</v>
      </c>
      <c r="E35">
        <v>0</v>
      </c>
    </row>
    <row r="36" spans="1:5" x14ac:dyDescent="0.3">
      <c r="A36">
        <v>35</v>
      </c>
      <c r="B36">
        <v>0</v>
      </c>
      <c r="C36">
        <v>6.25E-2</v>
      </c>
      <c r="D36">
        <v>0</v>
      </c>
      <c r="E36">
        <v>0</v>
      </c>
    </row>
    <row r="37" spans="1:5" x14ac:dyDescent="0.3">
      <c r="A37">
        <v>36</v>
      </c>
      <c r="B37">
        <v>0</v>
      </c>
      <c r="C37">
        <v>6.25E-2</v>
      </c>
      <c r="D37">
        <v>0</v>
      </c>
      <c r="E37">
        <v>0</v>
      </c>
    </row>
    <row r="38" spans="1:5" x14ac:dyDescent="0.3">
      <c r="A38">
        <v>37</v>
      </c>
      <c r="B38">
        <v>0</v>
      </c>
      <c r="C38">
        <v>4.6875E-2</v>
      </c>
      <c r="D38">
        <v>0</v>
      </c>
      <c r="E38">
        <v>0</v>
      </c>
    </row>
    <row r="39" spans="1:5" x14ac:dyDescent="0.3">
      <c r="A39">
        <v>38</v>
      </c>
      <c r="B39">
        <v>0</v>
      </c>
      <c r="C39">
        <v>6.25E-2</v>
      </c>
      <c r="D39">
        <v>0</v>
      </c>
      <c r="E39">
        <v>0</v>
      </c>
    </row>
    <row r="40" spans="1:5" x14ac:dyDescent="0.3">
      <c r="A40">
        <v>39</v>
      </c>
      <c r="B40">
        <v>0</v>
      </c>
      <c r="C40">
        <v>4.6875E-2</v>
      </c>
      <c r="D40">
        <v>0</v>
      </c>
      <c r="E40">
        <v>0</v>
      </c>
    </row>
    <row r="41" spans="1:5" x14ac:dyDescent="0.3">
      <c r="A41">
        <v>40</v>
      </c>
      <c r="B41">
        <v>0</v>
      </c>
      <c r="C41">
        <v>4.6875E-2</v>
      </c>
      <c r="D41">
        <v>0</v>
      </c>
      <c r="E41">
        <v>0</v>
      </c>
    </row>
    <row r="42" spans="1:5" x14ac:dyDescent="0.3">
      <c r="A42">
        <v>41</v>
      </c>
      <c r="B42">
        <v>0</v>
      </c>
      <c r="C42">
        <v>4.6875E-2</v>
      </c>
      <c r="D42">
        <v>0</v>
      </c>
      <c r="E42">
        <v>0</v>
      </c>
    </row>
    <row r="43" spans="1:5" x14ac:dyDescent="0.3">
      <c r="A43">
        <v>42</v>
      </c>
      <c r="B43">
        <v>0</v>
      </c>
      <c r="C43">
        <v>4.6875E-2</v>
      </c>
      <c r="D43">
        <v>0</v>
      </c>
      <c r="E43">
        <v>0</v>
      </c>
    </row>
    <row r="44" spans="1:5" x14ac:dyDescent="0.3">
      <c r="A44">
        <v>43</v>
      </c>
      <c r="B44">
        <v>0</v>
      </c>
      <c r="C44">
        <v>4.6875E-2</v>
      </c>
      <c r="D44">
        <v>0</v>
      </c>
      <c r="E44">
        <v>0</v>
      </c>
    </row>
    <row r="45" spans="1:5" x14ac:dyDescent="0.3">
      <c r="A45">
        <v>44</v>
      </c>
      <c r="B45">
        <v>0</v>
      </c>
      <c r="C45">
        <v>4.6875E-2</v>
      </c>
      <c r="D45">
        <v>0</v>
      </c>
      <c r="E45">
        <v>0</v>
      </c>
    </row>
    <row r="46" spans="1:5" x14ac:dyDescent="0.3">
      <c r="A46">
        <v>45</v>
      </c>
      <c r="B46">
        <v>0</v>
      </c>
      <c r="C46">
        <v>6.25E-2</v>
      </c>
      <c r="D46">
        <v>0</v>
      </c>
      <c r="E46">
        <v>0</v>
      </c>
    </row>
    <row r="47" spans="1:5" x14ac:dyDescent="0.3">
      <c r="A47">
        <v>46</v>
      </c>
      <c r="B47">
        <v>0</v>
      </c>
      <c r="C47">
        <v>4.6875E-2</v>
      </c>
      <c r="D47">
        <v>0</v>
      </c>
      <c r="E47">
        <v>0</v>
      </c>
    </row>
    <row r="48" spans="1:5" x14ac:dyDescent="0.3">
      <c r="A48">
        <v>47</v>
      </c>
      <c r="B48">
        <v>0</v>
      </c>
      <c r="C48">
        <v>4.6875E-2</v>
      </c>
      <c r="D48">
        <v>0</v>
      </c>
      <c r="E48">
        <v>0</v>
      </c>
    </row>
    <row r="49" spans="1:5" x14ac:dyDescent="0.3">
      <c r="A49">
        <v>48</v>
      </c>
      <c r="B49">
        <v>0</v>
      </c>
      <c r="C49">
        <v>4.6875E-2</v>
      </c>
      <c r="D49">
        <v>0</v>
      </c>
      <c r="E49">
        <v>0</v>
      </c>
    </row>
    <row r="50" spans="1:5" x14ac:dyDescent="0.3">
      <c r="A50">
        <v>49</v>
      </c>
      <c r="B50">
        <v>0</v>
      </c>
      <c r="C50">
        <v>4.6875E-2</v>
      </c>
      <c r="D50">
        <v>0</v>
      </c>
      <c r="E50">
        <v>0</v>
      </c>
    </row>
    <row r="51" spans="1:5" x14ac:dyDescent="0.3">
      <c r="A51">
        <v>50</v>
      </c>
      <c r="B51">
        <v>0</v>
      </c>
      <c r="C51">
        <v>4.6875E-2</v>
      </c>
      <c r="D51">
        <v>0</v>
      </c>
      <c r="E51">
        <v>0</v>
      </c>
    </row>
    <row r="52" spans="1:5" x14ac:dyDescent="0.3">
      <c r="A52">
        <v>51</v>
      </c>
      <c r="B52">
        <v>0</v>
      </c>
      <c r="C52">
        <v>4.6875E-2</v>
      </c>
      <c r="D52">
        <v>0</v>
      </c>
      <c r="E52">
        <v>0</v>
      </c>
    </row>
    <row r="53" spans="1:5" x14ac:dyDescent="0.3">
      <c r="A53">
        <v>52</v>
      </c>
      <c r="B53">
        <v>0</v>
      </c>
      <c r="C53">
        <v>3.125E-2</v>
      </c>
      <c r="D53">
        <v>0</v>
      </c>
      <c r="E53">
        <v>0</v>
      </c>
    </row>
    <row r="54" spans="1:5" x14ac:dyDescent="0.3">
      <c r="A54">
        <v>53</v>
      </c>
      <c r="B54">
        <v>0</v>
      </c>
      <c r="C54">
        <v>4.6875E-2</v>
      </c>
      <c r="D54">
        <v>0</v>
      </c>
      <c r="E54">
        <v>0</v>
      </c>
    </row>
    <row r="55" spans="1:5" x14ac:dyDescent="0.3">
      <c r="A55">
        <v>54</v>
      </c>
      <c r="B55">
        <v>0</v>
      </c>
      <c r="C55">
        <v>4.6875E-2</v>
      </c>
      <c r="D55">
        <v>0</v>
      </c>
      <c r="E55">
        <v>0</v>
      </c>
    </row>
    <row r="56" spans="1:5" x14ac:dyDescent="0.3">
      <c r="A56">
        <v>55</v>
      </c>
      <c r="B56">
        <v>0</v>
      </c>
      <c r="C56">
        <v>4.6875E-2</v>
      </c>
      <c r="D56">
        <v>0</v>
      </c>
      <c r="E56">
        <v>0</v>
      </c>
    </row>
    <row r="57" spans="1:5" x14ac:dyDescent="0.3">
      <c r="A57">
        <v>56</v>
      </c>
      <c r="B57">
        <v>0</v>
      </c>
      <c r="C57">
        <v>3.125E-2</v>
      </c>
      <c r="D57">
        <v>0</v>
      </c>
      <c r="E57">
        <v>0</v>
      </c>
    </row>
    <row r="58" spans="1:5" x14ac:dyDescent="0.3">
      <c r="A58">
        <v>57</v>
      </c>
      <c r="B58">
        <v>0</v>
      </c>
      <c r="C58">
        <v>4.6875E-2</v>
      </c>
      <c r="D58">
        <v>0</v>
      </c>
      <c r="E58">
        <v>0</v>
      </c>
    </row>
    <row r="59" spans="1:5" x14ac:dyDescent="0.3">
      <c r="A59">
        <v>58</v>
      </c>
      <c r="B59">
        <v>0</v>
      </c>
      <c r="C59">
        <v>4.6875E-2</v>
      </c>
      <c r="D59">
        <v>0</v>
      </c>
      <c r="E59">
        <v>0</v>
      </c>
    </row>
    <row r="60" spans="1:5" x14ac:dyDescent="0.3">
      <c r="A60">
        <v>59</v>
      </c>
      <c r="B60">
        <v>0</v>
      </c>
      <c r="C60">
        <v>4.6875E-2</v>
      </c>
      <c r="D60">
        <v>0</v>
      </c>
      <c r="E60">
        <v>0</v>
      </c>
    </row>
    <row r="61" spans="1:5" x14ac:dyDescent="0.3">
      <c r="A61">
        <v>60</v>
      </c>
      <c r="B61">
        <v>0</v>
      </c>
      <c r="C61">
        <v>4.6875E-2</v>
      </c>
      <c r="D61">
        <v>0</v>
      </c>
      <c r="E61">
        <v>0</v>
      </c>
    </row>
    <row r="62" spans="1:5" x14ac:dyDescent="0.3">
      <c r="A62">
        <v>61</v>
      </c>
      <c r="B62">
        <v>0</v>
      </c>
      <c r="C62">
        <v>3.125E-2</v>
      </c>
      <c r="D62">
        <v>0</v>
      </c>
      <c r="E62">
        <v>0</v>
      </c>
    </row>
    <row r="63" spans="1:5" x14ac:dyDescent="0.3">
      <c r="A63">
        <v>62</v>
      </c>
      <c r="B63">
        <v>0</v>
      </c>
      <c r="C63">
        <v>6.25E-2</v>
      </c>
      <c r="D63">
        <v>0</v>
      </c>
      <c r="E63">
        <v>0</v>
      </c>
    </row>
    <row r="64" spans="1:5" x14ac:dyDescent="0.3">
      <c r="A64">
        <v>63</v>
      </c>
      <c r="B64">
        <v>0</v>
      </c>
      <c r="C64">
        <v>3.125E-2</v>
      </c>
      <c r="D64">
        <v>0</v>
      </c>
      <c r="E64">
        <v>0</v>
      </c>
    </row>
    <row r="65" spans="1:5" x14ac:dyDescent="0.3">
      <c r="A65">
        <v>64</v>
      </c>
      <c r="B65">
        <v>1.5625E-2</v>
      </c>
      <c r="C65">
        <v>3.125E-2</v>
      </c>
      <c r="D65">
        <v>0</v>
      </c>
      <c r="E65">
        <v>0</v>
      </c>
    </row>
    <row r="66" spans="1:5" x14ac:dyDescent="0.3">
      <c r="A66">
        <v>65</v>
      </c>
      <c r="B66">
        <v>0</v>
      </c>
      <c r="C66">
        <v>4.6875E-2</v>
      </c>
      <c r="D66">
        <v>0</v>
      </c>
      <c r="E66">
        <v>0</v>
      </c>
    </row>
    <row r="67" spans="1:5" x14ac:dyDescent="0.3">
      <c r="A67">
        <v>66</v>
      </c>
      <c r="B67">
        <v>0</v>
      </c>
      <c r="C67">
        <v>4.6875E-2</v>
      </c>
      <c r="D67">
        <v>0</v>
      </c>
      <c r="E67">
        <v>0</v>
      </c>
    </row>
    <row r="68" spans="1:5" x14ac:dyDescent="0.3">
      <c r="A68">
        <v>67</v>
      </c>
      <c r="B68">
        <v>0</v>
      </c>
      <c r="C68">
        <v>4.6875E-2</v>
      </c>
      <c r="D68">
        <v>0</v>
      </c>
      <c r="E68">
        <v>0</v>
      </c>
    </row>
    <row r="69" spans="1:5" x14ac:dyDescent="0.3">
      <c r="A69">
        <v>68</v>
      </c>
      <c r="B69">
        <v>0</v>
      </c>
      <c r="C69">
        <v>3.125E-2</v>
      </c>
      <c r="D69">
        <v>0</v>
      </c>
      <c r="E69">
        <v>0</v>
      </c>
    </row>
    <row r="70" spans="1:5" x14ac:dyDescent="0.3">
      <c r="A70">
        <v>69</v>
      </c>
      <c r="B70">
        <v>0</v>
      </c>
      <c r="C70">
        <v>3.125E-2</v>
      </c>
      <c r="D70">
        <v>0</v>
      </c>
      <c r="E70">
        <v>0</v>
      </c>
    </row>
    <row r="71" spans="1:5" x14ac:dyDescent="0.3">
      <c r="A71">
        <v>70</v>
      </c>
      <c r="B71">
        <v>0</v>
      </c>
      <c r="C71">
        <v>4.6875E-2</v>
      </c>
      <c r="D71">
        <v>0</v>
      </c>
      <c r="E71">
        <v>0</v>
      </c>
    </row>
    <row r="72" spans="1:5" x14ac:dyDescent="0.3">
      <c r="A72">
        <v>71</v>
      </c>
      <c r="B72">
        <v>0</v>
      </c>
      <c r="C72">
        <v>4.6875E-2</v>
      </c>
      <c r="D72">
        <v>0</v>
      </c>
      <c r="E72">
        <v>0</v>
      </c>
    </row>
    <row r="73" spans="1:5" x14ac:dyDescent="0.3">
      <c r="A73">
        <v>72</v>
      </c>
      <c r="B73">
        <v>0</v>
      </c>
      <c r="C73">
        <v>3.125E-2</v>
      </c>
      <c r="D73">
        <v>0</v>
      </c>
      <c r="E73">
        <v>0</v>
      </c>
    </row>
    <row r="74" spans="1:5" x14ac:dyDescent="0.3">
      <c r="A74">
        <v>73</v>
      </c>
      <c r="B74">
        <v>0</v>
      </c>
      <c r="C74">
        <v>4.6875E-2</v>
      </c>
      <c r="D74">
        <v>0</v>
      </c>
      <c r="E74">
        <v>0</v>
      </c>
    </row>
    <row r="75" spans="1:5" x14ac:dyDescent="0.3">
      <c r="A75">
        <v>74</v>
      </c>
      <c r="B75">
        <v>0</v>
      </c>
      <c r="C75">
        <v>4.6875E-2</v>
      </c>
      <c r="D75">
        <v>0</v>
      </c>
      <c r="E75">
        <v>0</v>
      </c>
    </row>
    <row r="76" spans="1:5" x14ac:dyDescent="0.3">
      <c r="A76">
        <v>75</v>
      </c>
      <c r="B76">
        <v>0</v>
      </c>
      <c r="C76">
        <v>3.125E-2</v>
      </c>
      <c r="D76">
        <v>0</v>
      </c>
      <c r="E76">
        <v>0</v>
      </c>
    </row>
    <row r="77" spans="1:5" x14ac:dyDescent="0.3">
      <c r="A77">
        <v>76</v>
      </c>
      <c r="B77">
        <v>0</v>
      </c>
      <c r="C77">
        <v>4.6875E-2</v>
      </c>
      <c r="D77">
        <v>0</v>
      </c>
      <c r="E77">
        <v>0</v>
      </c>
    </row>
    <row r="78" spans="1:5" x14ac:dyDescent="0.3">
      <c r="A78">
        <v>77</v>
      </c>
      <c r="B78">
        <v>0</v>
      </c>
      <c r="C78">
        <v>4.6875E-2</v>
      </c>
      <c r="D78">
        <v>0</v>
      </c>
      <c r="E78">
        <v>0</v>
      </c>
    </row>
    <row r="79" spans="1:5" x14ac:dyDescent="0.3">
      <c r="A79">
        <v>78</v>
      </c>
      <c r="B79">
        <v>0</v>
      </c>
      <c r="C79">
        <v>4.6875E-2</v>
      </c>
      <c r="D79">
        <v>0</v>
      </c>
      <c r="E79">
        <v>0</v>
      </c>
    </row>
    <row r="80" spans="1:5" x14ac:dyDescent="0.3">
      <c r="A80">
        <v>79</v>
      </c>
      <c r="B80">
        <v>0</v>
      </c>
      <c r="C80">
        <v>3.125E-2</v>
      </c>
      <c r="D80">
        <v>0</v>
      </c>
      <c r="E80">
        <v>0</v>
      </c>
    </row>
    <row r="81" spans="1:5" x14ac:dyDescent="0.3">
      <c r="A81">
        <v>80</v>
      </c>
      <c r="B81">
        <v>1.5625E-2</v>
      </c>
      <c r="C81">
        <v>3.125E-2</v>
      </c>
      <c r="D81">
        <v>0</v>
      </c>
      <c r="E81">
        <v>0</v>
      </c>
    </row>
    <row r="82" spans="1:5" x14ac:dyDescent="0.3">
      <c r="A82">
        <v>81</v>
      </c>
      <c r="B82">
        <v>0</v>
      </c>
      <c r="C82">
        <v>4.6875E-2</v>
      </c>
      <c r="D82">
        <v>0</v>
      </c>
      <c r="E82">
        <v>0</v>
      </c>
    </row>
    <row r="83" spans="1:5" x14ac:dyDescent="0.3">
      <c r="A83">
        <v>82</v>
      </c>
      <c r="B83">
        <v>0</v>
      </c>
      <c r="C83">
        <v>4.6875E-2</v>
      </c>
      <c r="D83">
        <v>0</v>
      </c>
      <c r="E83">
        <v>0</v>
      </c>
    </row>
    <row r="84" spans="1:5" x14ac:dyDescent="0.3">
      <c r="A84">
        <v>83</v>
      </c>
      <c r="B84">
        <v>0</v>
      </c>
      <c r="C84">
        <v>4.6875E-2</v>
      </c>
      <c r="D84">
        <v>0</v>
      </c>
      <c r="E84">
        <v>0</v>
      </c>
    </row>
    <row r="85" spans="1:5" x14ac:dyDescent="0.3">
      <c r="A85">
        <v>84</v>
      </c>
      <c r="B85">
        <v>0</v>
      </c>
      <c r="C85">
        <v>3.125E-2</v>
      </c>
      <c r="D85">
        <v>0</v>
      </c>
      <c r="E85">
        <v>0</v>
      </c>
    </row>
    <row r="86" spans="1:5" x14ac:dyDescent="0.3">
      <c r="A86">
        <v>85</v>
      </c>
      <c r="B86">
        <v>0</v>
      </c>
      <c r="C86">
        <v>3.125E-2</v>
      </c>
      <c r="D86">
        <v>0</v>
      </c>
      <c r="E86">
        <v>0</v>
      </c>
    </row>
    <row r="87" spans="1:5" x14ac:dyDescent="0.3">
      <c r="A87">
        <v>86</v>
      </c>
      <c r="B87">
        <v>0</v>
      </c>
      <c r="C87">
        <v>4.6875E-2</v>
      </c>
      <c r="D87">
        <v>0</v>
      </c>
      <c r="E87">
        <v>0</v>
      </c>
    </row>
    <row r="88" spans="1:5" x14ac:dyDescent="0.3">
      <c r="A88">
        <v>87</v>
      </c>
      <c r="B88">
        <v>0</v>
      </c>
      <c r="C88">
        <v>4.6875E-2</v>
      </c>
      <c r="D88">
        <v>0</v>
      </c>
      <c r="E88">
        <v>0</v>
      </c>
    </row>
    <row r="89" spans="1:5" x14ac:dyDescent="0.3">
      <c r="A89">
        <v>88</v>
      </c>
      <c r="B89">
        <v>0</v>
      </c>
      <c r="C89">
        <v>4.6875E-2</v>
      </c>
      <c r="D89">
        <v>0</v>
      </c>
      <c r="E89">
        <v>0</v>
      </c>
    </row>
    <row r="90" spans="1:5" x14ac:dyDescent="0.3">
      <c r="A90">
        <v>89</v>
      </c>
      <c r="B90">
        <v>0</v>
      </c>
      <c r="C90">
        <v>3.125E-2</v>
      </c>
      <c r="D90">
        <v>0</v>
      </c>
      <c r="E90">
        <v>0</v>
      </c>
    </row>
    <row r="91" spans="1:5" x14ac:dyDescent="0.3">
      <c r="A91">
        <v>90</v>
      </c>
      <c r="B91">
        <v>0</v>
      </c>
      <c r="C91">
        <v>4.6875E-2</v>
      </c>
      <c r="D91">
        <v>0</v>
      </c>
      <c r="E91">
        <v>0</v>
      </c>
    </row>
    <row r="92" spans="1:5" x14ac:dyDescent="0.3">
      <c r="A92">
        <v>91</v>
      </c>
      <c r="B92">
        <v>0</v>
      </c>
      <c r="C92">
        <v>4.6875E-2</v>
      </c>
      <c r="D92">
        <v>0</v>
      </c>
      <c r="E92">
        <v>0</v>
      </c>
    </row>
    <row r="93" spans="1:5" x14ac:dyDescent="0.3">
      <c r="A93">
        <v>92</v>
      </c>
      <c r="B93">
        <v>0</v>
      </c>
      <c r="C93">
        <v>4.6875E-2</v>
      </c>
      <c r="D93">
        <v>0</v>
      </c>
      <c r="E93">
        <v>0</v>
      </c>
    </row>
    <row r="94" spans="1:5" x14ac:dyDescent="0.3">
      <c r="A94">
        <v>93</v>
      </c>
      <c r="B94">
        <v>0</v>
      </c>
      <c r="C94">
        <v>3.125E-2</v>
      </c>
      <c r="D94">
        <v>0</v>
      </c>
      <c r="E94">
        <v>0</v>
      </c>
    </row>
    <row r="95" spans="1:5" x14ac:dyDescent="0.3">
      <c r="A95">
        <v>94</v>
      </c>
      <c r="B95">
        <v>0</v>
      </c>
      <c r="C95">
        <v>4.6875E-2</v>
      </c>
      <c r="D95">
        <v>0</v>
      </c>
      <c r="E95">
        <v>0</v>
      </c>
    </row>
    <row r="96" spans="1:5" x14ac:dyDescent="0.3">
      <c r="A96">
        <v>95</v>
      </c>
      <c r="B96">
        <v>0</v>
      </c>
      <c r="C96">
        <v>4.6875E-2</v>
      </c>
      <c r="D96">
        <v>0</v>
      </c>
      <c r="E96">
        <v>0</v>
      </c>
    </row>
    <row r="97" spans="1:5" x14ac:dyDescent="0.3">
      <c r="A97">
        <v>96</v>
      </c>
      <c r="B97">
        <v>0</v>
      </c>
      <c r="C97">
        <v>4.6875E-2</v>
      </c>
      <c r="D97">
        <v>0</v>
      </c>
      <c r="E97">
        <v>0</v>
      </c>
    </row>
    <row r="98" spans="1:5" x14ac:dyDescent="0.3">
      <c r="A98">
        <v>97</v>
      </c>
      <c r="B98">
        <v>0</v>
      </c>
      <c r="C98">
        <v>4.6875E-2</v>
      </c>
      <c r="D98">
        <v>0</v>
      </c>
      <c r="E98">
        <v>0</v>
      </c>
    </row>
    <row r="99" spans="1:5" x14ac:dyDescent="0.3">
      <c r="A99">
        <v>98</v>
      </c>
      <c r="B99">
        <v>0</v>
      </c>
      <c r="C99">
        <v>4.6875E-2</v>
      </c>
      <c r="D99">
        <v>0</v>
      </c>
      <c r="E99">
        <v>0</v>
      </c>
    </row>
    <row r="100" spans="1:5" x14ac:dyDescent="0.3">
      <c r="A100">
        <v>99</v>
      </c>
      <c r="B100">
        <v>0</v>
      </c>
      <c r="C100">
        <v>3.125E-2</v>
      </c>
      <c r="D100">
        <v>0</v>
      </c>
      <c r="E100">
        <v>1.5625E-2</v>
      </c>
    </row>
    <row r="101" spans="1:5" x14ac:dyDescent="0.3">
      <c r="A101">
        <v>100</v>
      </c>
      <c r="B101">
        <v>0</v>
      </c>
      <c r="C101">
        <v>3.125E-2</v>
      </c>
      <c r="D101">
        <v>0</v>
      </c>
      <c r="E101">
        <v>0</v>
      </c>
    </row>
  </sheetData>
  <autoFilter ref="A1:E101" xr:uid="{24FAF0D1-2A68-4F32-B755-051CBBE324D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0784-38DA-47A3-AD61-92C1F87A746F}">
  <dimension ref="A1:K101"/>
  <sheetViews>
    <sheetView workbookViewId="0">
      <selection activeCell="H8" sqref="H8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1</v>
      </c>
      <c r="B2">
        <v>0</v>
      </c>
      <c r="C2">
        <v>0.1875</v>
      </c>
      <c r="D2">
        <v>0</v>
      </c>
      <c r="E2">
        <v>0</v>
      </c>
      <c r="G2" t="s">
        <v>5</v>
      </c>
      <c r="H2">
        <f>MIN(B2:B101)</f>
        <v>0</v>
      </c>
      <c r="I2">
        <f t="shared" ref="I2:K2" si="0">MIN(C2:C101)</f>
        <v>0.125</v>
      </c>
      <c r="J2">
        <f t="shared" si="0"/>
        <v>0</v>
      </c>
      <c r="K2">
        <f t="shared" si="0"/>
        <v>0</v>
      </c>
    </row>
    <row r="3" spans="1:11" x14ac:dyDescent="0.3">
      <c r="A3">
        <v>2</v>
      </c>
      <c r="B3">
        <v>0</v>
      </c>
      <c r="C3">
        <v>0.1875</v>
      </c>
      <c r="D3">
        <v>0</v>
      </c>
      <c r="E3">
        <v>0</v>
      </c>
      <c r="G3" t="s">
        <v>6</v>
      </c>
      <c r="H3">
        <f>MAX(B2:B101)</f>
        <v>1.5625E-2</v>
      </c>
      <c r="I3">
        <f t="shared" ref="I3:K3" si="1">MAX(C2:C101)</f>
        <v>0.203125</v>
      </c>
      <c r="J3">
        <f t="shared" si="1"/>
        <v>1.5625E-2</v>
      </c>
      <c r="K3">
        <f t="shared" si="1"/>
        <v>1.5625E-2</v>
      </c>
    </row>
    <row r="4" spans="1:11" x14ac:dyDescent="0.3">
      <c r="A4">
        <v>3</v>
      </c>
      <c r="B4">
        <v>0</v>
      </c>
      <c r="C4">
        <v>0.171875</v>
      </c>
      <c r="D4">
        <v>0</v>
      </c>
      <c r="E4">
        <v>0</v>
      </c>
      <c r="G4" t="s">
        <v>7</v>
      </c>
      <c r="H4">
        <f>AVERAGE(B2:B101)</f>
        <v>9.3749999999999997E-4</v>
      </c>
      <c r="I4">
        <f t="shared" ref="I4:K4" si="2">AVERAGE(C2:C101)</f>
        <v>0.16500000000000001</v>
      </c>
      <c r="J4">
        <f t="shared" si="2"/>
        <v>1.5625E-4</v>
      </c>
      <c r="K4">
        <f t="shared" si="2"/>
        <v>4.6874999999999998E-4</v>
      </c>
    </row>
    <row r="5" spans="1:11" x14ac:dyDescent="0.3">
      <c r="A5">
        <v>4</v>
      </c>
      <c r="B5">
        <v>0</v>
      </c>
      <c r="C5">
        <v>0.171875</v>
      </c>
      <c r="D5">
        <v>0</v>
      </c>
      <c r="E5">
        <v>0</v>
      </c>
      <c r="G5" t="s">
        <v>8</v>
      </c>
      <c r="H5">
        <f>_xlfn.STDEV.S(B2:B101)</f>
        <v>3.7294258839990942E-3</v>
      </c>
      <c r="I5">
        <f t="shared" ref="I5:K5" si="3">_xlfn.STDEV.S(C2:C101)</f>
        <v>1.2228748831331756E-2</v>
      </c>
      <c r="J5">
        <f t="shared" si="3"/>
        <v>1.5625000000000001E-3</v>
      </c>
      <c r="K5">
        <f t="shared" si="3"/>
        <v>2.6788532499650826E-3</v>
      </c>
    </row>
    <row r="6" spans="1:11" x14ac:dyDescent="0.3">
      <c r="A6">
        <v>5</v>
      </c>
      <c r="B6">
        <v>0</v>
      </c>
      <c r="C6">
        <v>0.171875</v>
      </c>
      <c r="D6">
        <v>0</v>
      </c>
      <c r="E6">
        <v>0</v>
      </c>
      <c r="G6" t="s">
        <v>9</v>
      </c>
      <c r="H6">
        <f>H5/H4</f>
        <v>3.9780542762657007</v>
      </c>
      <c r="I6">
        <f t="shared" ref="I6" si="4">I5/I4</f>
        <v>7.4113629280798524E-2</v>
      </c>
      <c r="J6" cm="1">
        <f t="array" ref="J6">IFERROR(J7H5/H4, 0)</f>
        <v>0</v>
      </c>
      <c r="K6">
        <f>K5/K4</f>
        <v>5.7148869332588434</v>
      </c>
    </row>
    <row r="7" spans="1:11" x14ac:dyDescent="0.3">
      <c r="A7">
        <v>6</v>
      </c>
      <c r="B7">
        <v>0</v>
      </c>
      <c r="C7">
        <v>0.171875</v>
      </c>
      <c r="D7">
        <v>0</v>
      </c>
      <c r="E7">
        <v>0</v>
      </c>
    </row>
    <row r="8" spans="1:11" x14ac:dyDescent="0.3">
      <c r="A8">
        <v>7</v>
      </c>
      <c r="B8">
        <v>0</v>
      </c>
      <c r="C8">
        <v>0.15625</v>
      </c>
      <c r="D8">
        <v>0</v>
      </c>
      <c r="E8">
        <v>0</v>
      </c>
    </row>
    <row r="9" spans="1:11" x14ac:dyDescent="0.3">
      <c r="A9">
        <v>8</v>
      </c>
      <c r="B9">
        <v>0</v>
      </c>
      <c r="C9">
        <v>0.171875</v>
      </c>
      <c r="D9">
        <v>0</v>
      </c>
      <c r="E9">
        <v>0</v>
      </c>
    </row>
    <row r="10" spans="1:11" x14ac:dyDescent="0.3">
      <c r="A10">
        <v>9</v>
      </c>
      <c r="B10">
        <v>0</v>
      </c>
      <c r="C10">
        <v>0.171875</v>
      </c>
      <c r="D10">
        <v>0</v>
      </c>
      <c r="E10">
        <v>0</v>
      </c>
    </row>
    <row r="11" spans="1:11" x14ac:dyDescent="0.3">
      <c r="A11">
        <v>10</v>
      </c>
      <c r="B11">
        <v>0</v>
      </c>
      <c r="C11">
        <v>0.125</v>
      </c>
      <c r="D11">
        <v>0</v>
      </c>
      <c r="E11">
        <v>0</v>
      </c>
    </row>
    <row r="12" spans="1:11" x14ac:dyDescent="0.3">
      <c r="A12">
        <v>11</v>
      </c>
      <c r="B12">
        <v>0</v>
      </c>
      <c r="C12">
        <v>0.171875</v>
      </c>
      <c r="D12">
        <v>0</v>
      </c>
      <c r="E12">
        <v>0</v>
      </c>
    </row>
    <row r="13" spans="1:11" x14ac:dyDescent="0.3">
      <c r="A13">
        <v>12</v>
      </c>
      <c r="B13">
        <v>0</v>
      </c>
      <c r="C13">
        <v>0.15625</v>
      </c>
      <c r="D13">
        <v>0</v>
      </c>
      <c r="E13">
        <v>0</v>
      </c>
    </row>
    <row r="14" spans="1:11" x14ac:dyDescent="0.3">
      <c r="A14">
        <v>13</v>
      </c>
      <c r="B14">
        <v>0</v>
      </c>
      <c r="C14">
        <v>0.171875</v>
      </c>
      <c r="D14">
        <v>0</v>
      </c>
      <c r="E14">
        <v>0</v>
      </c>
    </row>
    <row r="15" spans="1:11" x14ac:dyDescent="0.3">
      <c r="A15">
        <v>14</v>
      </c>
      <c r="B15">
        <v>0</v>
      </c>
      <c r="C15">
        <v>0.171875</v>
      </c>
      <c r="D15">
        <v>0</v>
      </c>
      <c r="E15">
        <v>0</v>
      </c>
    </row>
    <row r="16" spans="1:11" x14ac:dyDescent="0.3">
      <c r="A16">
        <v>15</v>
      </c>
      <c r="B16">
        <v>0</v>
      </c>
      <c r="C16">
        <v>0.171875</v>
      </c>
      <c r="D16">
        <v>0</v>
      </c>
      <c r="E16">
        <v>0</v>
      </c>
    </row>
    <row r="17" spans="1:5" x14ac:dyDescent="0.3">
      <c r="A17">
        <v>16</v>
      </c>
      <c r="B17">
        <v>0</v>
      </c>
      <c r="C17">
        <v>0.15625</v>
      </c>
      <c r="D17">
        <v>0</v>
      </c>
      <c r="E17">
        <v>0</v>
      </c>
    </row>
    <row r="18" spans="1:5" x14ac:dyDescent="0.3">
      <c r="A18">
        <v>17</v>
      </c>
      <c r="B18">
        <v>0</v>
      </c>
      <c r="C18">
        <v>0.1875</v>
      </c>
      <c r="D18">
        <v>0</v>
      </c>
      <c r="E18">
        <v>0</v>
      </c>
    </row>
    <row r="19" spans="1:5" x14ac:dyDescent="0.3">
      <c r="A19">
        <v>18</v>
      </c>
      <c r="B19">
        <v>0</v>
      </c>
      <c r="C19">
        <v>0.15625</v>
      </c>
      <c r="D19">
        <v>0</v>
      </c>
      <c r="E19">
        <v>1.5625E-2</v>
      </c>
    </row>
    <row r="20" spans="1:5" x14ac:dyDescent="0.3">
      <c r="A20">
        <v>19</v>
      </c>
      <c r="B20">
        <v>0</v>
      </c>
      <c r="C20">
        <v>0.15625</v>
      </c>
      <c r="D20">
        <v>0</v>
      </c>
      <c r="E20">
        <v>0</v>
      </c>
    </row>
    <row r="21" spans="1:5" x14ac:dyDescent="0.3">
      <c r="A21">
        <v>20</v>
      </c>
      <c r="B21">
        <v>1.5625E-2</v>
      </c>
      <c r="C21">
        <v>0.140625</v>
      </c>
      <c r="D21">
        <v>0</v>
      </c>
      <c r="E21">
        <v>0</v>
      </c>
    </row>
    <row r="22" spans="1:5" x14ac:dyDescent="0.3">
      <c r="A22">
        <v>21</v>
      </c>
      <c r="B22">
        <v>0</v>
      </c>
      <c r="C22">
        <v>0.171875</v>
      </c>
      <c r="D22">
        <v>0</v>
      </c>
      <c r="E22">
        <v>0</v>
      </c>
    </row>
    <row r="23" spans="1:5" x14ac:dyDescent="0.3">
      <c r="A23">
        <v>22</v>
      </c>
      <c r="B23">
        <v>0</v>
      </c>
      <c r="C23">
        <v>0.15625</v>
      </c>
      <c r="D23">
        <v>0</v>
      </c>
      <c r="E23">
        <v>0</v>
      </c>
    </row>
    <row r="24" spans="1:5" x14ac:dyDescent="0.3">
      <c r="A24">
        <v>23</v>
      </c>
      <c r="B24">
        <v>0</v>
      </c>
      <c r="C24">
        <v>0.1875</v>
      </c>
      <c r="D24">
        <v>0</v>
      </c>
      <c r="E24">
        <v>0</v>
      </c>
    </row>
    <row r="25" spans="1:5" x14ac:dyDescent="0.3">
      <c r="A25">
        <v>24</v>
      </c>
      <c r="B25">
        <v>0</v>
      </c>
      <c r="C25">
        <v>0.15625</v>
      </c>
      <c r="D25">
        <v>0</v>
      </c>
      <c r="E25">
        <v>0</v>
      </c>
    </row>
    <row r="26" spans="1:5" x14ac:dyDescent="0.3">
      <c r="A26">
        <v>25</v>
      </c>
      <c r="B26">
        <v>0</v>
      </c>
      <c r="C26">
        <v>0.15625</v>
      </c>
      <c r="D26">
        <v>0</v>
      </c>
      <c r="E26">
        <v>0</v>
      </c>
    </row>
    <row r="27" spans="1:5" x14ac:dyDescent="0.3">
      <c r="A27">
        <v>26</v>
      </c>
      <c r="B27">
        <v>0</v>
      </c>
      <c r="C27">
        <v>0.15625</v>
      </c>
      <c r="D27">
        <v>0</v>
      </c>
      <c r="E27">
        <v>0</v>
      </c>
    </row>
    <row r="28" spans="1:5" x14ac:dyDescent="0.3">
      <c r="A28">
        <v>27</v>
      </c>
      <c r="B28">
        <v>0</v>
      </c>
      <c r="C28">
        <v>0.140625</v>
      </c>
      <c r="D28">
        <v>0</v>
      </c>
      <c r="E28">
        <v>0</v>
      </c>
    </row>
    <row r="29" spans="1:5" x14ac:dyDescent="0.3">
      <c r="A29">
        <v>28</v>
      </c>
      <c r="B29">
        <v>0</v>
      </c>
      <c r="C29">
        <v>0.171875</v>
      </c>
      <c r="D29">
        <v>0</v>
      </c>
      <c r="E29">
        <v>0</v>
      </c>
    </row>
    <row r="30" spans="1:5" x14ac:dyDescent="0.3">
      <c r="A30">
        <v>29</v>
      </c>
      <c r="B30">
        <v>0</v>
      </c>
      <c r="C30">
        <v>0.171875</v>
      </c>
      <c r="D30">
        <v>0</v>
      </c>
      <c r="E30">
        <v>0</v>
      </c>
    </row>
    <row r="31" spans="1:5" x14ac:dyDescent="0.3">
      <c r="A31">
        <v>30</v>
      </c>
      <c r="B31">
        <v>0</v>
      </c>
      <c r="C31">
        <v>0.171875</v>
      </c>
      <c r="D31">
        <v>0</v>
      </c>
      <c r="E31">
        <v>0</v>
      </c>
    </row>
    <row r="32" spans="1:5" x14ac:dyDescent="0.3">
      <c r="A32">
        <v>31</v>
      </c>
      <c r="B32">
        <v>0</v>
      </c>
      <c r="C32">
        <v>0.15625</v>
      </c>
      <c r="D32">
        <v>0</v>
      </c>
      <c r="E32">
        <v>0</v>
      </c>
    </row>
    <row r="33" spans="1:5" x14ac:dyDescent="0.3">
      <c r="A33">
        <v>32</v>
      </c>
      <c r="B33">
        <v>0</v>
      </c>
      <c r="C33">
        <v>0.15625</v>
      </c>
      <c r="D33">
        <v>0</v>
      </c>
      <c r="E33">
        <v>0</v>
      </c>
    </row>
    <row r="34" spans="1:5" x14ac:dyDescent="0.3">
      <c r="A34">
        <v>33</v>
      </c>
      <c r="B34">
        <v>0</v>
      </c>
      <c r="C34">
        <v>0.171875</v>
      </c>
      <c r="D34">
        <v>0</v>
      </c>
      <c r="E34">
        <v>0</v>
      </c>
    </row>
    <row r="35" spans="1:5" x14ac:dyDescent="0.3">
      <c r="A35">
        <v>34</v>
      </c>
      <c r="B35">
        <v>0</v>
      </c>
      <c r="C35">
        <v>0.15625</v>
      </c>
      <c r="D35">
        <v>0</v>
      </c>
      <c r="E35">
        <v>0</v>
      </c>
    </row>
    <row r="36" spans="1:5" x14ac:dyDescent="0.3">
      <c r="A36">
        <v>35</v>
      </c>
      <c r="B36">
        <v>0</v>
      </c>
      <c r="C36">
        <v>0.171875</v>
      </c>
      <c r="D36">
        <v>0</v>
      </c>
      <c r="E36">
        <v>0</v>
      </c>
    </row>
    <row r="37" spans="1:5" x14ac:dyDescent="0.3">
      <c r="A37">
        <v>36</v>
      </c>
      <c r="B37">
        <v>0</v>
      </c>
      <c r="C37">
        <v>0.171875</v>
      </c>
      <c r="D37">
        <v>0</v>
      </c>
      <c r="E37">
        <v>0</v>
      </c>
    </row>
    <row r="38" spans="1:5" x14ac:dyDescent="0.3">
      <c r="A38">
        <v>37</v>
      </c>
      <c r="B38">
        <v>0</v>
      </c>
      <c r="C38">
        <v>0.203125</v>
      </c>
      <c r="D38">
        <v>0</v>
      </c>
      <c r="E38">
        <v>0</v>
      </c>
    </row>
    <row r="39" spans="1:5" x14ac:dyDescent="0.3">
      <c r="A39">
        <v>38</v>
      </c>
      <c r="B39">
        <v>0</v>
      </c>
      <c r="C39">
        <v>0.15625</v>
      </c>
      <c r="D39">
        <v>0</v>
      </c>
      <c r="E39">
        <v>0</v>
      </c>
    </row>
    <row r="40" spans="1:5" x14ac:dyDescent="0.3">
      <c r="A40">
        <v>39</v>
      </c>
      <c r="B40">
        <v>0</v>
      </c>
      <c r="C40">
        <v>0.171875</v>
      </c>
      <c r="D40">
        <v>0</v>
      </c>
      <c r="E40">
        <v>0</v>
      </c>
    </row>
    <row r="41" spans="1:5" x14ac:dyDescent="0.3">
      <c r="A41">
        <v>40</v>
      </c>
      <c r="B41">
        <v>0</v>
      </c>
      <c r="C41">
        <v>0.15625</v>
      </c>
      <c r="D41">
        <v>0</v>
      </c>
      <c r="E41">
        <v>0</v>
      </c>
    </row>
    <row r="42" spans="1:5" x14ac:dyDescent="0.3">
      <c r="A42">
        <v>41</v>
      </c>
      <c r="B42">
        <v>0</v>
      </c>
      <c r="C42">
        <v>0.171875</v>
      </c>
      <c r="D42">
        <v>0</v>
      </c>
      <c r="E42">
        <v>0</v>
      </c>
    </row>
    <row r="43" spans="1:5" x14ac:dyDescent="0.3">
      <c r="A43">
        <v>42</v>
      </c>
      <c r="B43">
        <v>0</v>
      </c>
      <c r="C43">
        <v>0.171875</v>
      </c>
      <c r="D43">
        <v>0</v>
      </c>
      <c r="E43">
        <v>0</v>
      </c>
    </row>
    <row r="44" spans="1:5" x14ac:dyDescent="0.3">
      <c r="A44">
        <v>43</v>
      </c>
      <c r="B44">
        <v>0</v>
      </c>
      <c r="C44">
        <v>0.15625</v>
      </c>
      <c r="D44">
        <v>0</v>
      </c>
      <c r="E44">
        <v>0</v>
      </c>
    </row>
    <row r="45" spans="1:5" x14ac:dyDescent="0.3">
      <c r="A45">
        <v>44</v>
      </c>
      <c r="B45">
        <v>0</v>
      </c>
      <c r="C45">
        <v>0.171875</v>
      </c>
      <c r="D45">
        <v>0</v>
      </c>
      <c r="E45">
        <v>0</v>
      </c>
    </row>
    <row r="46" spans="1:5" x14ac:dyDescent="0.3">
      <c r="A46">
        <v>45</v>
      </c>
      <c r="B46">
        <v>0</v>
      </c>
      <c r="C46">
        <v>0.15625</v>
      </c>
      <c r="D46">
        <v>0</v>
      </c>
      <c r="E46">
        <v>1.5625E-2</v>
      </c>
    </row>
    <row r="47" spans="1:5" x14ac:dyDescent="0.3">
      <c r="A47">
        <v>46</v>
      </c>
      <c r="B47">
        <v>0</v>
      </c>
      <c r="C47">
        <v>0.15625</v>
      </c>
      <c r="D47">
        <v>0</v>
      </c>
      <c r="E47">
        <v>0</v>
      </c>
    </row>
    <row r="48" spans="1:5" x14ac:dyDescent="0.3">
      <c r="A48">
        <v>47</v>
      </c>
      <c r="B48">
        <v>0</v>
      </c>
      <c r="C48">
        <v>0.171875</v>
      </c>
      <c r="D48">
        <v>0</v>
      </c>
      <c r="E48">
        <v>0</v>
      </c>
    </row>
    <row r="49" spans="1:5" x14ac:dyDescent="0.3">
      <c r="A49">
        <v>48</v>
      </c>
      <c r="B49">
        <v>0</v>
      </c>
      <c r="C49">
        <v>0.171875</v>
      </c>
      <c r="D49">
        <v>0</v>
      </c>
      <c r="E49">
        <v>0</v>
      </c>
    </row>
    <row r="50" spans="1:5" x14ac:dyDescent="0.3">
      <c r="A50">
        <v>49</v>
      </c>
      <c r="B50">
        <v>0</v>
      </c>
      <c r="C50">
        <v>0.171875</v>
      </c>
      <c r="D50">
        <v>0</v>
      </c>
      <c r="E50">
        <v>0</v>
      </c>
    </row>
    <row r="51" spans="1:5" x14ac:dyDescent="0.3">
      <c r="A51">
        <v>50</v>
      </c>
      <c r="B51">
        <v>0</v>
      </c>
      <c r="C51">
        <v>0.171875</v>
      </c>
      <c r="D51">
        <v>0</v>
      </c>
      <c r="E51">
        <v>0</v>
      </c>
    </row>
    <row r="52" spans="1:5" x14ac:dyDescent="0.3">
      <c r="A52">
        <v>51</v>
      </c>
      <c r="B52">
        <v>0</v>
      </c>
      <c r="C52">
        <v>0.15625</v>
      </c>
      <c r="D52">
        <v>0</v>
      </c>
      <c r="E52">
        <v>0</v>
      </c>
    </row>
    <row r="53" spans="1:5" x14ac:dyDescent="0.3">
      <c r="A53">
        <v>52</v>
      </c>
      <c r="B53">
        <v>1.5625E-2</v>
      </c>
      <c r="C53">
        <v>0.140625</v>
      </c>
      <c r="D53">
        <v>0</v>
      </c>
      <c r="E53">
        <v>0</v>
      </c>
    </row>
    <row r="54" spans="1:5" x14ac:dyDescent="0.3">
      <c r="A54">
        <v>53</v>
      </c>
      <c r="B54">
        <v>0</v>
      </c>
      <c r="C54">
        <v>0.171875</v>
      </c>
      <c r="D54">
        <v>0</v>
      </c>
      <c r="E54">
        <v>0</v>
      </c>
    </row>
    <row r="55" spans="1:5" x14ac:dyDescent="0.3">
      <c r="A55">
        <v>54</v>
      </c>
      <c r="B55">
        <v>1.5625E-2</v>
      </c>
      <c r="C55">
        <v>0.171875</v>
      </c>
      <c r="D55">
        <v>0</v>
      </c>
      <c r="E55">
        <v>0</v>
      </c>
    </row>
    <row r="56" spans="1:5" x14ac:dyDescent="0.3">
      <c r="A56">
        <v>55</v>
      </c>
      <c r="B56">
        <v>0</v>
      </c>
      <c r="C56">
        <v>0.15625</v>
      </c>
      <c r="D56">
        <v>0</v>
      </c>
      <c r="E56">
        <v>0</v>
      </c>
    </row>
    <row r="57" spans="1:5" x14ac:dyDescent="0.3">
      <c r="A57">
        <v>56</v>
      </c>
      <c r="B57">
        <v>0</v>
      </c>
      <c r="C57">
        <v>0.15625</v>
      </c>
      <c r="D57">
        <v>0</v>
      </c>
      <c r="E57">
        <v>0</v>
      </c>
    </row>
    <row r="58" spans="1:5" x14ac:dyDescent="0.3">
      <c r="A58">
        <v>57</v>
      </c>
      <c r="B58">
        <v>0</v>
      </c>
      <c r="C58">
        <v>0.171875</v>
      </c>
      <c r="D58">
        <v>0</v>
      </c>
      <c r="E58">
        <v>0</v>
      </c>
    </row>
    <row r="59" spans="1:5" x14ac:dyDescent="0.3">
      <c r="A59">
        <v>58</v>
      </c>
      <c r="B59">
        <v>0</v>
      </c>
      <c r="C59">
        <v>0.171875</v>
      </c>
      <c r="D59">
        <v>0</v>
      </c>
      <c r="E59">
        <v>0</v>
      </c>
    </row>
    <row r="60" spans="1:5" x14ac:dyDescent="0.3">
      <c r="A60">
        <v>59</v>
      </c>
      <c r="B60">
        <v>0</v>
      </c>
      <c r="C60">
        <v>0.15625</v>
      </c>
      <c r="D60">
        <v>0</v>
      </c>
      <c r="E60">
        <v>0</v>
      </c>
    </row>
    <row r="61" spans="1:5" x14ac:dyDescent="0.3">
      <c r="A61">
        <v>60</v>
      </c>
      <c r="B61">
        <v>1.5625E-2</v>
      </c>
      <c r="C61">
        <v>0.15625</v>
      </c>
      <c r="D61">
        <v>0</v>
      </c>
      <c r="E61">
        <v>0</v>
      </c>
    </row>
    <row r="62" spans="1:5" x14ac:dyDescent="0.3">
      <c r="A62">
        <v>61</v>
      </c>
      <c r="B62">
        <v>0</v>
      </c>
      <c r="C62">
        <v>0.15625</v>
      </c>
      <c r="D62">
        <v>0</v>
      </c>
      <c r="E62">
        <v>1.5625E-2</v>
      </c>
    </row>
    <row r="63" spans="1:5" x14ac:dyDescent="0.3">
      <c r="A63">
        <v>62</v>
      </c>
      <c r="B63">
        <v>0</v>
      </c>
      <c r="C63">
        <v>0.171875</v>
      </c>
      <c r="D63">
        <v>0</v>
      </c>
      <c r="E63">
        <v>0</v>
      </c>
    </row>
    <row r="64" spans="1:5" x14ac:dyDescent="0.3">
      <c r="A64">
        <v>63</v>
      </c>
      <c r="B64">
        <v>0</v>
      </c>
      <c r="C64">
        <v>0.125</v>
      </c>
      <c r="D64">
        <v>0</v>
      </c>
      <c r="E64">
        <v>0</v>
      </c>
    </row>
    <row r="65" spans="1:5" x14ac:dyDescent="0.3">
      <c r="A65">
        <v>64</v>
      </c>
      <c r="B65">
        <v>0</v>
      </c>
      <c r="C65">
        <v>0.171875</v>
      </c>
      <c r="D65">
        <v>0</v>
      </c>
      <c r="E65">
        <v>0</v>
      </c>
    </row>
    <row r="66" spans="1:5" x14ac:dyDescent="0.3">
      <c r="A66">
        <v>65</v>
      </c>
      <c r="B66">
        <v>0</v>
      </c>
      <c r="C66">
        <v>0.171875</v>
      </c>
      <c r="D66">
        <v>0</v>
      </c>
      <c r="E66">
        <v>0</v>
      </c>
    </row>
    <row r="67" spans="1:5" x14ac:dyDescent="0.3">
      <c r="A67">
        <v>66</v>
      </c>
      <c r="B67">
        <v>0</v>
      </c>
      <c r="C67">
        <v>0.171875</v>
      </c>
      <c r="D67">
        <v>0</v>
      </c>
      <c r="E67">
        <v>0</v>
      </c>
    </row>
    <row r="68" spans="1:5" x14ac:dyDescent="0.3">
      <c r="A68">
        <v>67</v>
      </c>
      <c r="B68">
        <v>0</v>
      </c>
      <c r="C68">
        <v>0.171875</v>
      </c>
      <c r="D68">
        <v>0</v>
      </c>
      <c r="E68">
        <v>0</v>
      </c>
    </row>
    <row r="69" spans="1:5" x14ac:dyDescent="0.3">
      <c r="A69">
        <v>68</v>
      </c>
      <c r="B69">
        <v>0</v>
      </c>
      <c r="C69">
        <v>0.15625</v>
      </c>
      <c r="D69">
        <v>0</v>
      </c>
      <c r="E69">
        <v>0</v>
      </c>
    </row>
    <row r="70" spans="1:5" x14ac:dyDescent="0.3">
      <c r="A70">
        <v>69</v>
      </c>
      <c r="B70">
        <v>0</v>
      </c>
      <c r="C70">
        <v>0.15625</v>
      </c>
      <c r="D70">
        <v>0</v>
      </c>
      <c r="E70">
        <v>0</v>
      </c>
    </row>
    <row r="71" spans="1:5" x14ac:dyDescent="0.3">
      <c r="A71">
        <v>70</v>
      </c>
      <c r="B71">
        <v>1.5625E-2</v>
      </c>
      <c r="C71">
        <v>0.15625</v>
      </c>
      <c r="D71">
        <v>0</v>
      </c>
      <c r="E71">
        <v>0</v>
      </c>
    </row>
    <row r="72" spans="1:5" x14ac:dyDescent="0.3">
      <c r="A72">
        <v>71</v>
      </c>
      <c r="B72">
        <v>0</v>
      </c>
      <c r="C72">
        <v>0.171875</v>
      </c>
      <c r="D72">
        <v>0</v>
      </c>
      <c r="E72">
        <v>0</v>
      </c>
    </row>
    <row r="73" spans="1:5" x14ac:dyDescent="0.3">
      <c r="A73">
        <v>72</v>
      </c>
      <c r="B73">
        <v>0</v>
      </c>
      <c r="C73">
        <v>0.171875</v>
      </c>
      <c r="D73">
        <v>0</v>
      </c>
      <c r="E73">
        <v>0</v>
      </c>
    </row>
    <row r="74" spans="1:5" x14ac:dyDescent="0.3">
      <c r="A74">
        <v>73</v>
      </c>
      <c r="B74">
        <v>0</v>
      </c>
      <c r="C74">
        <v>0.171875</v>
      </c>
      <c r="D74">
        <v>0</v>
      </c>
      <c r="E74">
        <v>0</v>
      </c>
    </row>
    <row r="75" spans="1:5" x14ac:dyDescent="0.3">
      <c r="A75">
        <v>74</v>
      </c>
      <c r="B75">
        <v>0</v>
      </c>
      <c r="C75">
        <v>0.15625</v>
      </c>
      <c r="D75">
        <v>0</v>
      </c>
      <c r="E75">
        <v>0</v>
      </c>
    </row>
    <row r="76" spans="1:5" x14ac:dyDescent="0.3">
      <c r="A76">
        <v>75</v>
      </c>
      <c r="B76">
        <v>0</v>
      </c>
      <c r="C76">
        <v>0.1875</v>
      </c>
      <c r="D76">
        <v>0</v>
      </c>
      <c r="E76">
        <v>0</v>
      </c>
    </row>
    <row r="77" spans="1:5" x14ac:dyDescent="0.3">
      <c r="A77">
        <v>76</v>
      </c>
      <c r="B77">
        <v>0</v>
      </c>
      <c r="C77">
        <v>0.15625</v>
      </c>
      <c r="D77">
        <v>1.5625E-2</v>
      </c>
      <c r="E77">
        <v>0</v>
      </c>
    </row>
    <row r="78" spans="1:5" x14ac:dyDescent="0.3">
      <c r="A78">
        <v>77</v>
      </c>
      <c r="B78">
        <v>0</v>
      </c>
      <c r="C78">
        <v>0.15625</v>
      </c>
      <c r="D78">
        <v>0</v>
      </c>
      <c r="E78">
        <v>0</v>
      </c>
    </row>
    <row r="79" spans="1:5" x14ac:dyDescent="0.3">
      <c r="A79">
        <v>78</v>
      </c>
      <c r="B79">
        <v>1.5625E-2</v>
      </c>
      <c r="C79">
        <v>0.15625</v>
      </c>
      <c r="D79">
        <v>0</v>
      </c>
      <c r="E79">
        <v>0</v>
      </c>
    </row>
    <row r="80" spans="1:5" x14ac:dyDescent="0.3">
      <c r="A80">
        <v>79</v>
      </c>
      <c r="B80">
        <v>0</v>
      </c>
      <c r="C80">
        <v>0.171875</v>
      </c>
      <c r="D80">
        <v>0</v>
      </c>
      <c r="E80">
        <v>0</v>
      </c>
    </row>
    <row r="81" spans="1:5" x14ac:dyDescent="0.3">
      <c r="A81">
        <v>80</v>
      </c>
      <c r="B81">
        <v>0</v>
      </c>
      <c r="C81">
        <v>0.171875</v>
      </c>
      <c r="D81">
        <v>0</v>
      </c>
      <c r="E81">
        <v>0</v>
      </c>
    </row>
    <row r="82" spans="1:5" x14ac:dyDescent="0.3">
      <c r="A82">
        <v>81</v>
      </c>
      <c r="B82">
        <v>0</v>
      </c>
      <c r="C82">
        <v>0.15625</v>
      </c>
      <c r="D82">
        <v>0</v>
      </c>
      <c r="E82">
        <v>0</v>
      </c>
    </row>
    <row r="83" spans="1:5" x14ac:dyDescent="0.3">
      <c r="A83">
        <v>82</v>
      </c>
      <c r="B83">
        <v>0</v>
      </c>
      <c r="C83">
        <v>0.171875</v>
      </c>
      <c r="D83">
        <v>0</v>
      </c>
      <c r="E83">
        <v>0</v>
      </c>
    </row>
    <row r="84" spans="1:5" x14ac:dyDescent="0.3">
      <c r="A84">
        <v>83</v>
      </c>
      <c r="B84">
        <v>0</v>
      </c>
      <c r="C84">
        <v>0.15625</v>
      </c>
      <c r="D84">
        <v>0</v>
      </c>
      <c r="E84">
        <v>0</v>
      </c>
    </row>
    <row r="85" spans="1:5" x14ac:dyDescent="0.3">
      <c r="A85">
        <v>84</v>
      </c>
      <c r="B85">
        <v>0</v>
      </c>
      <c r="C85">
        <v>0.15625</v>
      </c>
      <c r="D85">
        <v>0</v>
      </c>
      <c r="E85">
        <v>0</v>
      </c>
    </row>
    <row r="86" spans="1:5" x14ac:dyDescent="0.3">
      <c r="A86">
        <v>85</v>
      </c>
      <c r="B86">
        <v>0</v>
      </c>
      <c r="C86">
        <v>0.171875</v>
      </c>
      <c r="D86">
        <v>0</v>
      </c>
      <c r="E86">
        <v>0</v>
      </c>
    </row>
    <row r="87" spans="1:5" x14ac:dyDescent="0.3">
      <c r="A87">
        <v>86</v>
      </c>
      <c r="B87">
        <v>0</v>
      </c>
      <c r="C87">
        <v>0.171875</v>
      </c>
      <c r="D87">
        <v>0</v>
      </c>
      <c r="E87">
        <v>0</v>
      </c>
    </row>
    <row r="88" spans="1:5" x14ac:dyDescent="0.3">
      <c r="A88">
        <v>87</v>
      </c>
      <c r="B88">
        <v>0</v>
      </c>
      <c r="C88">
        <v>0.15625</v>
      </c>
      <c r="D88">
        <v>0</v>
      </c>
      <c r="E88">
        <v>0</v>
      </c>
    </row>
    <row r="89" spans="1:5" x14ac:dyDescent="0.3">
      <c r="A89">
        <v>88</v>
      </c>
      <c r="B89">
        <v>0</v>
      </c>
      <c r="C89">
        <v>0.15625</v>
      </c>
      <c r="D89">
        <v>0</v>
      </c>
      <c r="E89">
        <v>0</v>
      </c>
    </row>
    <row r="90" spans="1:5" x14ac:dyDescent="0.3">
      <c r="A90">
        <v>89</v>
      </c>
      <c r="B90">
        <v>0</v>
      </c>
      <c r="C90">
        <v>0.171875</v>
      </c>
      <c r="D90">
        <v>0</v>
      </c>
      <c r="E90">
        <v>0</v>
      </c>
    </row>
    <row r="91" spans="1:5" x14ac:dyDescent="0.3">
      <c r="A91">
        <v>90</v>
      </c>
      <c r="B91">
        <v>0</v>
      </c>
      <c r="C91">
        <v>0.1875</v>
      </c>
      <c r="D91">
        <v>0</v>
      </c>
      <c r="E91">
        <v>0</v>
      </c>
    </row>
    <row r="92" spans="1:5" x14ac:dyDescent="0.3">
      <c r="A92">
        <v>91</v>
      </c>
      <c r="B92">
        <v>0</v>
      </c>
      <c r="C92">
        <v>0.15625</v>
      </c>
      <c r="D92">
        <v>0</v>
      </c>
      <c r="E92">
        <v>0</v>
      </c>
    </row>
    <row r="93" spans="1:5" x14ac:dyDescent="0.3">
      <c r="A93">
        <v>92</v>
      </c>
      <c r="B93">
        <v>0</v>
      </c>
      <c r="C93">
        <v>0.15625</v>
      </c>
      <c r="D93">
        <v>0</v>
      </c>
      <c r="E93">
        <v>0</v>
      </c>
    </row>
    <row r="94" spans="1:5" x14ac:dyDescent="0.3">
      <c r="A94">
        <v>93</v>
      </c>
      <c r="B94">
        <v>0</v>
      </c>
      <c r="C94">
        <v>0.15625</v>
      </c>
      <c r="D94">
        <v>0</v>
      </c>
      <c r="E94">
        <v>0</v>
      </c>
    </row>
    <row r="95" spans="1:5" x14ac:dyDescent="0.3">
      <c r="A95">
        <v>94</v>
      </c>
      <c r="B95">
        <v>0</v>
      </c>
      <c r="C95">
        <v>0.171875</v>
      </c>
      <c r="D95">
        <v>0</v>
      </c>
      <c r="E95">
        <v>0</v>
      </c>
    </row>
    <row r="96" spans="1:5" x14ac:dyDescent="0.3">
      <c r="A96">
        <v>95</v>
      </c>
      <c r="B96">
        <v>0</v>
      </c>
      <c r="C96">
        <v>0.171875</v>
      </c>
      <c r="D96">
        <v>0</v>
      </c>
      <c r="E96">
        <v>0</v>
      </c>
    </row>
    <row r="97" spans="1:5" x14ac:dyDescent="0.3">
      <c r="A97">
        <v>96</v>
      </c>
      <c r="B97">
        <v>0</v>
      </c>
      <c r="C97">
        <v>0.171875</v>
      </c>
      <c r="D97">
        <v>0</v>
      </c>
      <c r="E97">
        <v>0</v>
      </c>
    </row>
    <row r="98" spans="1:5" x14ac:dyDescent="0.3">
      <c r="A98">
        <v>97</v>
      </c>
      <c r="B98">
        <v>0</v>
      </c>
      <c r="C98">
        <v>0.15625</v>
      </c>
      <c r="D98">
        <v>0</v>
      </c>
      <c r="E98">
        <v>0</v>
      </c>
    </row>
    <row r="99" spans="1:5" x14ac:dyDescent="0.3">
      <c r="A99">
        <v>98</v>
      </c>
      <c r="B99">
        <v>0</v>
      </c>
      <c r="C99">
        <v>0.171875</v>
      </c>
      <c r="D99">
        <v>0</v>
      </c>
      <c r="E99">
        <v>0</v>
      </c>
    </row>
    <row r="100" spans="1:5" x14ac:dyDescent="0.3">
      <c r="A100">
        <v>99</v>
      </c>
      <c r="B100">
        <v>0</v>
      </c>
      <c r="C100">
        <v>0.171875</v>
      </c>
      <c r="D100">
        <v>0</v>
      </c>
      <c r="E100">
        <v>0</v>
      </c>
    </row>
    <row r="101" spans="1:5" x14ac:dyDescent="0.3">
      <c r="A101">
        <v>100</v>
      </c>
      <c r="B101">
        <v>0</v>
      </c>
      <c r="C101">
        <v>0.15625</v>
      </c>
      <c r="D101">
        <v>0</v>
      </c>
      <c r="E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0800-0DE1-4E2C-A2C2-C6071343B3DA}">
  <dimension ref="A1:K101"/>
  <sheetViews>
    <sheetView workbookViewId="0">
      <selection activeCell="J27" sqref="J27"/>
    </sheetView>
  </sheetViews>
  <sheetFormatPr baseColWidth="10" defaultRowHeight="14.4" x14ac:dyDescent="0.3"/>
  <cols>
    <col min="6" max="6" width="12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1</v>
      </c>
      <c r="B2">
        <v>0</v>
      </c>
      <c r="C2">
        <v>0.671875</v>
      </c>
      <c r="D2">
        <v>0</v>
      </c>
      <c r="E2">
        <v>0</v>
      </c>
      <c r="G2" t="s">
        <v>5</v>
      </c>
      <c r="H2">
        <f>MIN(B2:B101)</f>
        <v>0</v>
      </c>
      <c r="I2">
        <f t="shared" ref="I2:K2" si="0">MIN(C2:C101)</f>
        <v>0.609375</v>
      </c>
      <c r="J2">
        <f t="shared" si="0"/>
        <v>0</v>
      </c>
      <c r="K2">
        <f t="shared" si="0"/>
        <v>0</v>
      </c>
    </row>
    <row r="3" spans="1:11" x14ac:dyDescent="0.3">
      <c r="A3">
        <v>2</v>
      </c>
      <c r="B3">
        <v>0</v>
      </c>
      <c r="C3">
        <v>0.65625</v>
      </c>
      <c r="D3">
        <v>0</v>
      </c>
      <c r="E3">
        <v>0</v>
      </c>
      <c r="G3" t="s">
        <v>6</v>
      </c>
      <c r="H3">
        <f>MAX(B2:B101)</f>
        <v>1.5625E-2</v>
      </c>
      <c r="I3">
        <f t="shared" ref="I3:K3" si="1">MAX(C2:C101)</f>
        <v>0.703125</v>
      </c>
      <c r="J3">
        <f t="shared" si="1"/>
        <v>1.5625E-2</v>
      </c>
      <c r="K3">
        <f t="shared" si="1"/>
        <v>1.5625E-2</v>
      </c>
    </row>
    <row r="4" spans="1:11" x14ac:dyDescent="0.3">
      <c r="A4">
        <v>3</v>
      </c>
      <c r="B4">
        <v>0</v>
      </c>
      <c r="C4">
        <v>0.640625</v>
      </c>
      <c r="D4">
        <v>0</v>
      </c>
      <c r="E4">
        <v>0</v>
      </c>
      <c r="G4" t="s">
        <v>7</v>
      </c>
      <c r="H4">
        <f>AVERAGE(B2:B101)</f>
        <v>2.5000000000000001E-3</v>
      </c>
      <c r="I4">
        <f t="shared" ref="I4:K4" si="2">AVERAGE(C2:C101)</f>
        <v>0.64968749999999997</v>
      </c>
      <c r="J4">
        <f t="shared" si="2"/>
        <v>3.1250000000000001E-4</v>
      </c>
      <c r="K4">
        <f t="shared" si="2"/>
        <v>3.1250000000000001E-4</v>
      </c>
    </row>
    <row r="5" spans="1:11" x14ac:dyDescent="0.3">
      <c r="A5">
        <v>4</v>
      </c>
      <c r="B5">
        <v>0</v>
      </c>
      <c r="C5">
        <v>0.625</v>
      </c>
      <c r="D5">
        <v>0</v>
      </c>
      <c r="E5">
        <v>0</v>
      </c>
      <c r="G5" t="s">
        <v>8</v>
      </c>
      <c r="H5">
        <f>_xlfn.STDEV.S(B2:B101)</f>
        <v>5.7570773308979785E-3</v>
      </c>
      <c r="I5">
        <f t="shared" ref="I5:K5" si="3">_xlfn.STDEV.S(C2:C101)</f>
        <v>2.1666575611696777E-2</v>
      </c>
      <c r="J5">
        <f t="shared" si="3"/>
        <v>2.1985202208795263E-3</v>
      </c>
      <c r="K5">
        <f t="shared" si="3"/>
        <v>2.1985202208795263E-3</v>
      </c>
    </row>
    <row r="6" spans="1:11" x14ac:dyDescent="0.3">
      <c r="A6">
        <v>5</v>
      </c>
      <c r="B6">
        <v>0</v>
      </c>
      <c r="C6">
        <v>0.703125</v>
      </c>
      <c r="D6">
        <v>0</v>
      </c>
      <c r="E6">
        <v>0</v>
      </c>
      <c r="G6" t="s">
        <v>9</v>
      </c>
      <c r="H6">
        <f>H5/H4</f>
        <v>2.3028309323591913</v>
      </c>
      <c r="I6">
        <f t="shared" ref="I6" si="4">I5/I4</f>
        <v>3.334922653075021E-2</v>
      </c>
      <c r="J6" cm="1">
        <f t="array" ref="J6">IFERROR(J7H5/H4, 0)</f>
        <v>0</v>
      </c>
      <c r="K6">
        <f>K5/K4</f>
        <v>7.035264706814484</v>
      </c>
    </row>
    <row r="7" spans="1:11" x14ac:dyDescent="0.3">
      <c r="A7">
        <v>6</v>
      </c>
      <c r="B7">
        <v>0</v>
      </c>
      <c r="C7">
        <v>0.640625</v>
      </c>
      <c r="D7">
        <v>0</v>
      </c>
      <c r="E7">
        <v>0</v>
      </c>
    </row>
    <row r="8" spans="1:11" x14ac:dyDescent="0.3">
      <c r="A8">
        <v>7</v>
      </c>
      <c r="B8">
        <v>0</v>
      </c>
      <c r="C8">
        <v>0.671875</v>
      </c>
      <c r="D8">
        <v>0</v>
      </c>
      <c r="E8">
        <v>0</v>
      </c>
    </row>
    <row r="9" spans="1:11" x14ac:dyDescent="0.3">
      <c r="A9">
        <v>8</v>
      </c>
      <c r="B9">
        <v>0</v>
      </c>
      <c r="C9">
        <v>0.640625</v>
      </c>
      <c r="D9">
        <v>0</v>
      </c>
      <c r="E9">
        <v>0</v>
      </c>
    </row>
    <row r="10" spans="1:11" x14ac:dyDescent="0.3">
      <c r="A10">
        <v>9</v>
      </c>
      <c r="B10">
        <v>0</v>
      </c>
      <c r="C10">
        <v>0.65625</v>
      </c>
      <c r="D10">
        <v>0</v>
      </c>
      <c r="E10">
        <v>0</v>
      </c>
    </row>
    <row r="11" spans="1:11" x14ac:dyDescent="0.3">
      <c r="A11">
        <v>10</v>
      </c>
      <c r="B11">
        <v>0</v>
      </c>
      <c r="C11">
        <v>0.65625</v>
      </c>
      <c r="D11">
        <v>0</v>
      </c>
      <c r="E11">
        <v>0</v>
      </c>
    </row>
    <row r="12" spans="1:11" x14ac:dyDescent="0.3">
      <c r="A12">
        <v>11</v>
      </c>
      <c r="B12">
        <v>0</v>
      </c>
      <c r="C12">
        <v>0.65625</v>
      </c>
      <c r="D12">
        <v>0</v>
      </c>
      <c r="E12">
        <v>0</v>
      </c>
    </row>
    <row r="13" spans="1:11" x14ac:dyDescent="0.3">
      <c r="A13">
        <v>12</v>
      </c>
      <c r="B13">
        <v>0</v>
      </c>
      <c r="C13">
        <v>0.671875</v>
      </c>
      <c r="D13">
        <v>0</v>
      </c>
      <c r="E13">
        <v>0</v>
      </c>
    </row>
    <row r="14" spans="1:11" x14ac:dyDescent="0.3">
      <c r="A14">
        <v>13</v>
      </c>
      <c r="B14">
        <v>0</v>
      </c>
      <c r="C14">
        <v>0.609375</v>
      </c>
      <c r="D14">
        <v>0</v>
      </c>
      <c r="E14">
        <v>0</v>
      </c>
    </row>
    <row r="15" spans="1:11" x14ac:dyDescent="0.3">
      <c r="A15">
        <v>14</v>
      </c>
      <c r="B15">
        <v>0</v>
      </c>
      <c r="C15">
        <v>0.65625</v>
      </c>
      <c r="D15">
        <v>0</v>
      </c>
      <c r="E15">
        <v>0</v>
      </c>
    </row>
    <row r="16" spans="1:11" x14ac:dyDescent="0.3">
      <c r="A16">
        <v>15</v>
      </c>
      <c r="B16">
        <v>0</v>
      </c>
      <c r="C16">
        <v>0.65625</v>
      </c>
      <c r="D16">
        <v>0</v>
      </c>
      <c r="E16">
        <v>0</v>
      </c>
    </row>
    <row r="17" spans="1:5" x14ac:dyDescent="0.3">
      <c r="A17">
        <v>16</v>
      </c>
      <c r="B17">
        <v>0</v>
      </c>
      <c r="C17">
        <v>0.65625</v>
      </c>
      <c r="D17">
        <v>1.5625E-2</v>
      </c>
      <c r="E17">
        <v>0</v>
      </c>
    </row>
    <row r="18" spans="1:5" x14ac:dyDescent="0.3">
      <c r="A18">
        <v>17</v>
      </c>
      <c r="B18">
        <v>0</v>
      </c>
      <c r="C18">
        <v>0.640625</v>
      </c>
      <c r="D18">
        <v>0</v>
      </c>
      <c r="E18">
        <v>1.5625E-2</v>
      </c>
    </row>
    <row r="19" spans="1:5" x14ac:dyDescent="0.3">
      <c r="A19">
        <v>18</v>
      </c>
      <c r="B19">
        <v>0</v>
      </c>
      <c r="C19">
        <v>0.640625</v>
      </c>
      <c r="D19">
        <v>0</v>
      </c>
      <c r="E19">
        <v>0</v>
      </c>
    </row>
    <row r="20" spans="1:5" x14ac:dyDescent="0.3">
      <c r="A20">
        <v>19</v>
      </c>
      <c r="B20">
        <v>1.5625E-2</v>
      </c>
      <c r="C20">
        <v>0.6875</v>
      </c>
      <c r="D20">
        <v>0</v>
      </c>
      <c r="E20">
        <v>0</v>
      </c>
    </row>
    <row r="21" spans="1:5" x14ac:dyDescent="0.3">
      <c r="A21">
        <v>20</v>
      </c>
      <c r="B21">
        <v>0</v>
      </c>
      <c r="C21">
        <v>0.609375</v>
      </c>
      <c r="D21">
        <v>0</v>
      </c>
      <c r="E21">
        <v>0</v>
      </c>
    </row>
    <row r="22" spans="1:5" x14ac:dyDescent="0.3">
      <c r="A22">
        <v>21</v>
      </c>
      <c r="B22">
        <v>0</v>
      </c>
      <c r="C22">
        <v>0.6875</v>
      </c>
      <c r="D22">
        <v>0</v>
      </c>
      <c r="E22">
        <v>0</v>
      </c>
    </row>
    <row r="23" spans="1:5" x14ac:dyDescent="0.3">
      <c r="A23">
        <v>22</v>
      </c>
      <c r="B23">
        <v>0</v>
      </c>
      <c r="C23">
        <v>0.6875</v>
      </c>
      <c r="D23">
        <v>0</v>
      </c>
      <c r="E23">
        <v>0</v>
      </c>
    </row>
    <row r="24" spans="1:5" x14ac:dyDescent="0.3">
      <c r="A24">
        <v>23</v>
      </c>
      <c r="B24">
        <v>0</v>
      </c>
      <c r="C24">
        <v>0.625</v>
      </c>
      <c r="D24">
        <v>0</v>
      </c>
      <c r="E24">
        <v>0</v>
      </c>
    </row>
    <row r="25" spans="1:5" x14ac:dyDescent="0.3">
      <c r="A25">
        <v>24</v>
      </c>
      <c r="B25">
        <v>0</v>
      </c>
      <c r="C25">
        <v>0.65625</v>
      </c>
      <c r="D25">
        <v>0</v>
      </c>
      <c r="E25">
        <v>0</v>
      </c>
    </row>
    <row r="26" spans="1:5" x14ac:dyDescent="0.3">
      <c r="A26">
        <v>25</v>
      </c>
      <c r="B26">
        <v>1.5625E-2</v>
      </c>
      <c r="C26">
        <v>0.625</v>
      </c>
      <c r="D26">
        <v>0</v>
      </c>
      <c r="E26">
        <v>0</v>
      </c>
    </row>
    <row r="27" spans="1:5" x14ac:dyDescent="0.3">
      <c r="A27">
        <v>26</v>
      </c>
      <c r="B27">
        <v>1.5625E-2</v>
      </c>
      <c r="C27">
        <v>0.65625</v>
      </c>
      <c r="D27">
        <v>0</v>
      </c>
      <c r="E27">
        <v>0</v>
      </c>
    </row>
    <row r="28" spans="1:5" x14ac:dyDescent="0.3">
      <c r="A28">
        <v>27</v>
      </c>
      <c r="B28">
        <v>0</v>
      </c>
      <c r="C28">
        <v>0.640625</v>
      </c>
      <c r="D28">
        <v>0</v>
      </c>
      <c r="E28">
        <v>0</v>
      </c>
    </row>
    <row r="29" spans="1:5" x14ac:dyDescent="0.3">
      <c r="A29">
        <v>28</v>
      </c>
      <c r="B29">
        <v>1.5625E-2</v>
      </c>
      <c r="C29">
        <v>0.703125</v>
      </c>
      <c r="D29">
        <v>0</v>
      </c>
      <c r="E29">
        <v>0</v>
      </c>
    </row>
    <row r="30" spans="1:5" x14ac:dyDescent="0.3">
      <c r="A30">
        <v>29</v>
      </c>
      <c r="B30">
        <v>0</v>
      </c>
      <c r="C30">
        <v>0.625</v>
      </c>
      <c r="D30">
        <v>0</v>
      </c>
      <c r="E30">
        <v>0</v>
      </c>
    </row>
    <row r="31" spans="1:5" x14ac:dyDescent="0.3">
      <c r="A31">
        <v>30</v>
      </c>
      <c r="B31">
        <v>1.5625E-2</v>
      </c>
      <c r="C31">
        <v>0.640625</v>
      </c>
      <c r="D31">
        <v>0</v>
      </c>
      <c r="E31">
        <v>0</v>
      </c>
    </row>
    <row r="32" spans="1:5" x14ac:dyDescent="0.3">
      <c r="A32">
        <v>31</v>
      </c>
      <c r="B32">
        <v>0</v>
      </c>
      <c r="C32">
        <v>0.671875</v>
      </c>
      <c r="D32">
        <v>0</v>
      </c>
      <c r="E32">
        <v>0</v>
      </c>
    </row>
    <row r="33" spans="1:5" x14ac:dyDescent="0.3">
      <c r="A33">
        <v>32</v>
      </c>
      <c r="B33">
        <v>0</v>
      </c>
      <c r="C33">
        <v>0.65625</v>
      </c>
      <c r="D33">
        <v>0</v>
      </c>
      <c r="E33">
        <v>0</v>
      </c>
    </row>
    <row r="34" spans="1:5" x14ac:dyDescent="0.3">
      <c r="A34">
        <v>33</v>
      </c>
      <c r="B34">
        <v>0</v>
      </c>
      <c r="C34">
        <v>0.640625</v>
      </c>
      <c r="D34">
        <v>0</v>
      </c>
      <c r="E34">
        <v>0</v>
      </c>
    </row>
    <row r="35" spans="1:5" x14ac:dyDescent="0.3">
      <c r="A35">
        <v>34</v>
      </c>
      <c r="B35">
        <v>0</v>
      </c>
      <c r="C35">
        <v>0.65625</v>
      </c>
      <c r="D35">
        <v>0</v>
      </c>
      <c r="E35">
        <v>0</v>
      </c>
    </row>
    <row r="36" spans="1:5" x14ac:dyDescent="0.3">
      <c r="A36">
        <v>35</v>
      </c>
      <c r="B36">
        <v>0</v>
      </c>
      <c r="C36">
        <v>0.65625</v>
      </c>
      <c r="D36">
        <v>0</v>
      </c>
      <c r="E36">
        <v>0</v>
      </c>
    </row>
    <row r="37" spans="1:5" x14ac:dyDescent="0.3">
      <c r="A37">
        <v>36</v>
      </c>
      <c r="B37">
        <v>0</v>
      </c>
      <c r="C37">
        <v>0.640625</v>
      </c>
      <c r="D37">
        <v>0</v>
      </c>
      <c r="E37">
        <v>0</v>
      </c>
    </row>
    <row r="38" spans="1:5" x14ac:dyDescent="0.3">
      <c r="A38">
        <v>37</v>
      </c>
      <c r="B38">
        <v>0</v>
      </c>
      <c r="C38">
        <v>0.640625</v>
      </c>
      <c r="D38">
        <v>0</v>
      </c>
      <c r="E38">
        <v>0</v>
      </c>
    </row>
    <row r="39" spans="1:5" x14ac:dyDescent="0.3">
      <c r="A39">
        <v>38</v>
      </c>
      <c r="B39">
        <v>1.5625E-2</v>
      </c>
      <c r="C39">
        <v>0.625</v>
      </c>
      <c r="D39">
        <v>0</v>
      </c>
      <c r="E39">
        <v>0</v>
      </c>
    </row>
    <row r="40" spans="1:5" x14ac:dyDescent="0.3">
      <c r="A40">
        <v>39</v>
      </c>
      <c r="B40">
        <v>1.5625E-2</v>
      </c>
      <c r="C40">
        <v>0.65625</v>
      </c>
      <c r="D40">
        <v>0</v>
      </c>
      <c r="E40">
        <v>0</v>
      </c>
    </row>
    <row r="41" spans="1:5" x14ac:dyDescent="0.3">
      <c r="A41">
        <v>40</v>
      </c>
      <c r="B41">
        <v>0</v>
      </c>
      <c r="C41">
        <v>0.625</v>
      </c>
      <c r="D41">
        <v>1.5625E-2</v>
      </c>
      <c r="E41">
        <v>0</v>
      </c>
    </row>
    <row r="42" spans="1:5" x14ac:dyDescent="0.3">
      <c r="A42">
        <v>41</v>
      </c>
      <c r="B42">
        <v>0</v>
      </c>
      <c r="C42">
        <v>0.65625</v>
      </c>
      <c r="D42">
        <v>0</v>
      </c>
      <c r="E42">
        <v>0</v>
      </c>
    </row>
    <row r="43" spans="1:5" x14ac:dyDescent="0.3">
      <c r="A43">
        <v>42</v>
      </c>
      <c r="B43">
        <v>0</v>
      </c>
      <c r="C43">
        <v>0.671875</v>
      </c>
      <c r="D43">
        <v>0</v>
      </c>
      <c r="E43">
        <v>0</v>
      </c>
    </row>
    <row r="44" spans="1:5" x14ac:dyDescent="0.3">
      <c r="A44">
        <v>43</v>
      </c>
      <c r="B44">
        <v>0</v>
      </c>
      <c r="C44">
        <v>0.65625</v>
      </c>
      <c r="D44">
        <v>0</v>
      </c>
      <c r="E44">
        <v>0</v>
      </c>
    </row>
    <row r="45" spans="1:5" x14ac:dyDescent="0.3">
      <c r="A45">
        <v>44</v>
      </c>
      <c r="B45">
        <v>0</v>
      </c>
      <c r="C45">
        <v>0.6875</v>
      </c>
      <c r="D45">
        <v>0</v>
      </c>
      <c r="E45">
        <v>0</v>
      </c>
    </row>
    <row r="46" spans="1:5" x14ac:dyDescent="0.3">
      <c r="A46">
        <v>45</v>
      </c>
      <c r="B46">
        <v>0</v>
      </c>
      <c r="C46">
        <v>0.671875</v>
      </c>
      <c r="D46">
        <v>0</v>
      </c>
      <c r="E46">
        <v>0</v>
      </c>
    </row>
    <row r="47" spans="1:5" x14ac:dyDescent="0.3">
      <c r="A47">
        <v>46</v>
      </c>
      <c r="B47">
        <v>0</v>
      </c>
      <c r="C47">
        <v>0.65625</v>
      </c>
      <c r="D47">
        <v>0</v>
      </c>
      <c r="E47">
        <v>0</v>
      </c>
    </row>
    <row r="48" spans="1:5" x14ac:dyDescent="0.3">
      <c r="A48">
        <v>47</v>
      </c>
      <c r="B48">
        <v>0</v>
      </c>
      <c r="C48">
        <v>0.671875</v>
      </c>
      <c r="D48">
        <v>0</v>
      </c>
      <c r="E48">
        <v>0</v>
      </c>
    </row>
    <row r="49" spans="1:5" x14ac:dyDescent="0.3">
      <c r="A49">
        <v>48</v>
      </c>
      <c r="B49">
        <v>0</v>
      </c>
      <c r="C49">
        <v>0.625</v>
      </c>
      <c r="D49">
        <v>0</v>
      </c>
      <c r="E49">
        <v>0</v>
      </c>
    </row>
    <row r="50" spans="1:5" x14ac:dyDescent="0.3">
      <c r="A50">
        <v>49</v>
      </c>
      <c r="B50">
        <v>0</v>
      </c>
      <c r="C50">
        <v>0.640625</v>
      </c>
      <c r="D50">
        <v>0</v>
      </c>
      <c r="E50">
        <v>0</v>
      </c>
    </row>
    <row r="51" spans="1:5" x14ac:dyDescent="0.3">
      <c r="A51">
        <v>50</v>
      </c>
      <c r="B51">
        <v>0</v>
      </c>
      <c r="C51">
        <v>0.65625</v>
      </c>
      <c r="D51">
        <v>0</v>
      </c>
      <c r="E51">
        <v>0</v>
      </c>
    </row>
    <row r="52" spans="1:5" x14ac:dyDescent="0.3">
      <c r="A52">
        <v>51</v>
      </c>
      <c r="B52">
        <v>1.5625E-2</v>
      </c>
      <c r="C52">
        <v>0.671875</v>
      </c>
      <c r="D52">
        <v>0</v>
      </c>
      <c r="E52">
        <v>0</v>
      </c>
    </row>
    <row r="53" spans="1:5" x14ac:dyDescent="0.3">
      <c r="A53">
        <v>52</v>
      </c>
      <c r="B53">
        <v>0</v>
      </c>
      <c r="C53">
        <v>0.640625</v>
      </c>
      <c r="D53">
        <v>0</v>
      </c>
      <c r="E53">
        <v>0</v>
      </c>
    </row>
    <row r="54" spans="1:5" x14ac:dyDescent="0.3">
      <c r="A54">
        <v>53</v>
      </c>
      <c r="B54">
        <v>0</v>
      </c>
      <c r="C54">
        <v>0.65625</v>
      </c>
      <c r="D54">
        <v>0</v>
      </c>
      <c r="E54">
        <v>0</v>
      </c>
    </row>
    <row r="55" spans="1:5" x14ac:dyDescent="0.3">
      <c r="A55">
        <v>54</v>
      </c>
      <c r="B55">
        <v>0</v>
      </c>
      <c r="C55">
        <v>0.671875</v>
      </c>
      <c r="D55">
        <v>0</v>
      </c>
      <c r="E55">
        <v>0</v>
      </c>
    </row>
    <row r="56" spans="1:5" x14ac:dyDescent="0.3">
      <c r="A56">
        <v>55</v>
      </c>
      <c r="B56">
        <v>0</v>
      </c>
      <c r="C56">
        <v>0.609375</v>
      </c>
      <c r="D56">
        <v>0</v>
      </c>
      <c r="E56">
        <v>0</v>
      </c>
    </row>
    <row r="57" spans="1:5" x14ac:dyDescent="0.3">
      <c r="A57">
        <v>56</v>
      </c>
      <c r="B57">
        <v>1.5625E-2</v>
      </c>
      <c r="C57">
        <v>0.6875</v>
      </c>
      <c r="D57">
        <v>0</v>
      </c>
      <c r="E57">
        <v>0</v>
      </c>
    </row>
    <row r="58" spans="1:5" x14ac:dyDescent="0.3">
      <c r="A58">
        <v>57</v>
      </c>
      <c r="B58">
        <v>0</v>
      </c>
      <c r="C58">
        <v>0.671875</v>
      </c>
      <c r="D58">
        <v>0</v>
      </c>
      <c r="E58">
        <v>0</v>
      </c>
    </row>
    <row r="59" spans="1:5" x14ac:dyDescent="0.3">
      <c r="A59">
        <v>58</v>
      </c>
      <c r="B59">
        <v>1.5625E-2</v>
      </c>
      <c r="C59">
        <v>0.625</v>
      </c>
      <c r="D59">
        <v>0</v>
      </c>
      <c r="E59">
        <v>0</v>
      </c>
    </row>
    <row r="60" spans="1:5" x14ac:dyDescent="0.3">
      <c r="A60">
        <v>59</v>
      </c>
      <c r="B60">
        <v>0</v>
      </c>
      <c r="C60">
        <v>0.65625</v>
      </c>
      <c r="D60">
        <v>0</v>
      </c>
      <c r="E60">
        <v>0</v>
      </c>
    </row>
    <row r="61" spans="1:5" x14ac:dyDescent="0.3">
      <c r="A61">
        <v>60</v>
      </c>
      <c r="B61">
        <v>1.5625E-2</v>
      </c>
      <c r="C61">
        <v>0.625</v>
      </c>
      <c r="D61">
        <v>0</v>
      </c>
      <c r="E61">
        <v>0</v>
      </c>
    </row>
    <row r="62" spans="1:5" x14ac:dyDescent="0.3">
      <c r="A62">
        <v>61</v>
      </c>
      <c r="B62">
        <v>0</v>
      </c>
      <c r="C62">
        <v>0.65625</v>
      </c>
      <c r="D62">
        <v>0</v>
      </c>
      <c r="E62">
        <v>0</v>
      </c>
    </row>
    <row r="63" spans="1:5" x14ac:dyDescent="0.3">
      <c r="A63">
        <v>62</v>
      </c>
      <c r="B63">
        <v>0</v>
      </c>
      <c r="C63">
        <v>0.65625</v>
      </c>
      <c r="D63">
        <v>0</v>
      </c>
      <c r="E63">
        <v>0</v>
      </c>
    </row>
    <row r="64" spans="1:5" x14ac:dyDescent="0.3">
      <c r="A64">
        <v>63</v>
      </c>
      <c r="B64">
        <v>0</v>
      </c>
      <c r="C64">
        <v>0.625</v>
      </c>
      <c r="D64">
        <v>0</v>
      </c>
      <c r="E64">
        <v>0</v>
      </c>
    </row>
    <row r="65" spans="1:5" x14ac:dyDescent="0.3">
      <c r="A65">
        <v>64</v>
      </c>
      <c r="B65">
        <v>0</v>
      </c>
      <c r="C65">
        <v>0.671875</v>
      </c>
      <c r="D65">
        <v>0</v>
      </c>
      <c r="E65">
        <v>0</v>
      </c>
    </row>
    <row r="66" spans="1:5" x14ac:dyDescent="0.3">
      <c r="A66">
        <v>65</v>
      </c>
      <c r="B66">
        <v>1.5625E-2</v>
      </c>
      <c r="C66">
        <v>0.640625</v>
      </c>
      <c r="D66">
        <v>0</v>
      </c>
      <c r="E66">
        <v>0</v>
      </c>
    </row>
    <row r="67" spans="1:5" x14ac:dyDescent="0.3">
      <c r="A67">
        <v>66</v>
      </c>
      <c r="B67">
        <v>0</v>
      </c>
      <c r="C67">
        <v>0.640625</v>
      </c>
      <c r="D67">
        <v>0</v>
      </c>
      <c r="E67">
        <v>0</v>
      </c>
    </row>
    <row r="68" spans="1:5" x14ac:dyDescent="0.3">
      <c r="A68">
        <v>67</v>
      </c>
      <c r="B68">
        <v>0</v>
      </c>
      <c r="C68">
        <v>0.640625</v>
      </c>
      <c r="D68">
        <v>0</v>
      </c>
      <c r="E68">
        <v>0</v>
      </c>
    </row>
    <row r="69" spans="1:5" x14ac:dyDescent="0.3">
      <c r="A69">
        <v>68</v>
      </c>
      <c r="B69">
        <v>0</v>
      </c>
      <c r="C69">
        <v>0.65625</v>
      </c>
      <c r="D69">
        <v>0</v>
      </c>
      <c r="E69">
        <v>0</v>
      </c>
    </row>
    <row r="70" spans="1:5" x14ac:dyDescent="0.3">
      <c r="A70">
        <v>69</v>
      </c>
      <c r="B70">
        <v>0</v>
      </c>
      <c r="C70">
        <v>0.671875</v>
      </c>
      <c r="D70">
        <v>0</v>
      </c>
      <c r="E70">
        <v>0</v>
      </c>
    </row>
    <row r="71" spans="1:5" x14ac:dyDescent="0.3">
      <c r="A71">
        <v>70</v>
      </c>
      <c r="B71">
        <v>0</v>
      </c>
      <c r="C71">
        <v>0.640625</v>
      </c>
      <c r="D71">
        <v>0</v>
      </c>
      <c r="E71">
        <v>0</v>
      </c>
    </row>
    <row r="72" spans="1:5" x14ac:dyDescent="0.3">
      <c r="A72">
        <v>71</v>
      </c>
      <c r="B72">
        <v>0</v>
      </c>
      <c r="C72">
        <v>0.671875</v>
      </c>
      <c r="D72">
        <v>0</v>
      </c>
      <c r="E72">
        <v>0</v>
      </c>
    </row>
    <row r="73" spans="1:5" x14ac:dyDescent="0.3">
      <c r="A73">
        <v>72</v>
      </c>
      <c r="B73">
        <v>0</v>
      </c>
      <c r="C73">
        <v>0.609375</v>
      </c>
      <c r="D73">
        <v>0</v>
      </c>
      <c r="E73">
        <v>0</v>
      </c>
    </row>
    <row r="74" spans="1:5" x14ac:dyDescent="0.3">
      <c r="A74">
        <v>73</v>
      </c>
      <c r="B74">
        <v>0</v>
      </c>
      <c r="C74">
        <v>0.671875</v>
      </c>
      <c r="D74">
        <v>0</v>
      </c>
      <c r="E74">
        <v>0</v>
      </c>
    </row>
    <row r="75" spans="1:5" x14ac:dyDescent="0.3">
      <c r="A75">
        <v>74</v>
      </c>
      <c r="B75">
        <v>0</v>
      </c>
      <c r="C75">
        <v>0.609375</v>
      </c>
      <c r="D75">
        <v>0</v>
      </c>
      <c r="E75">
        <v>0</v>
      </c>
    </row>
    <row r="76" spans="1:5" x14ac:dyDescent="0.3">
      <c r="A76">
        <v>75</v>
      </c>
      <c r="B76">
        <v>1.5625E-2</v>
      </c>
      <c r="C76">
        <v>0.671875</v>
      </c>
      <c r="D76">
        <v>0</v>
      </c>
      <c r="E76">
        <v>0</v>
      </c>
    </row>
    <row r="77" spans="1:5" x14ac:dyDescent="0.3">
      <c r="A77">
        <v>76</v>
      </c>
      <c r="B77">
        <v>0</v>
      </c>
      <c r="C77">
        <v>0.640625</v>
      </c>
      <c r="D77">
        <v>0</v>
      </c>
      <c r="E77">
        <v>0</v>
      </c>
    </row>
    <row r="78" spans="1:5" x14ac:dyDescent="0.3">
      <c r="A78">
        <v>77</v>
      </c>
      <c r="B78">
        <v>0</v>
      </c>
      <c r="C78">
        <v>0.609375</v>
      </c>
      <c r="D78">
        <v>0</v>
      </c>
      <c r="E78">
        <v>0</v>
      </c>
    </row>
    <row r="79" spans="1:5" x14ac:dyDescent="0.3">
      <c r="A79">
        <v>78</v>
      </c>
      <c r="B79">
        <v>1.5625E-2</v>
      </c>
      <c r="C79">
        <v>0.625</v>
      </c>
      <c r="D79">
        <v>0</v>
      </c>
      <c r="E79">
        <v>0</v>
      </c>
    </row>
    <row r="80" spans="1:5" x14ac:dyDescent="0.3">
      <c r="A80">
        <v>79</v>
      </c>
      <c r="B80">
        <v>0</v>
      </c>
      <c r="C80">
        <v>0.609375</v>
      </c>
      <c r="D80">
        <v>0</v>
      </c>
      <c r="E80">
        <v>0</v>
      </c>
    </row>
    <row r="81" spans="1:5" x14ac:dyDescent="0.3">
      <c r="A81">
        <v>80</v>
      </c>
      <c r="B81">
        <v>0</v>
      </c>
      <c r="C81">
        <v>0.65625</v>
      </c>
      <c r="D81">
        <v>0</v>
      </c>
      <c r="E81">
        <v>0</v>
      </c>
    </row>
    <row r="82" spans="1:5" x14ac:dyDescent="0.3">
      <c r="A82">
        <v>81</v>
      </c>
      <c r="B82">
        <v>0</v>
      </c>
      <c r="C82">
        <v>0.625</v>
      </c>
      <c r="D82">
        <v>0</v>
      </c>
      <c r="E82">
        <v>1.5625E-2</v>
      </c>
    </row>
    <row r="83" spans="1:5" x14ac:dyDescent="0.3">
      <c r="A83">
        <v>82</v>
      </c>
      <c r="B83">
        <v>0</v>
      </c>
      <c r="C83">
        <v>0.65625</v>
      </c>
      <c r="D83">
        <v>0</v>
      </c>
      <c r="E83">
        <v>0</v>
      </c>
    </row>
    <row r="84" spans="1:5" x14ac:dyDescent="0.3">
      <c r="A84">
        <v>83</v>
      </c>
      <c r="B84">
        <v>0</v>
      </c>
      <c r="C84">
        <v>0.640625</v>
      </c>
      <c r="D84">
        <v>0</v>
      </c>
      <c r="E84">
        <v>0</v>
      </c>
    </row>
    <row r="85" spans="1:5" x14ac:dyDescent="0.3">
      <c r="A85">
        <v>84</v>
      </c>
      <c r="B85">
        <v>1.5625E-2</v>
      </c>
      <c r="C85">
        <v>0.625</v>
      </c>
      <c r="D85">
        <v>0</v>
      </c>
      <c r="E85">
        <v>0</v>
      </c>
    </row>
    <row r="86" spans="1:5" x14ac:dyDescent="0.3">
      <c r="A86">
        <v>85</v>
      </c>
      <c r="B86">
        <v>1.5625E-2</v>
      </c>
      <c r="C86">
        <v>0.640625</v>
      </c>
      <c r="D86">
        <v>0</v>
      </c>
      <c r="E86">
        <v>0</v>
      </c>
    </row>
    <row r="87" spans="1:5" x14ac:dyDescent="0.3">
      <c r="A87">
        <v>86</v>
      </c>
      <c r="B87">
        <v>0</v>
      </c>
      <c r="C87">
        <v>0.65625</v>
      </c>
      <c r="D87">
        <v>0</v>
      </c>
      <c r="E87">
        <v>0</v>
      </c>
    </row>
    <row r="88" spans="1:5" x14ac:dyDescent="0.3">
      <c r="A88">
        <v>87</v>
      </c>
      <c r="B88">
        <v>0</v>
      </c>
      <c r="C88">
        <v>0.65625</v>
      </c>
      <c r="D88">
        <v>0</v>
      </c>
      <c r="E88">
        <v>0</v>
      </c>
    </row>
    <row r="89" spans="1:5" x14ac:dyDescent="0.3">
      <c r="A89">
        <v>88</v>
      </c>
      <c r="B89">
        <v>0</v>
      </c>
      <c r="C89">
        <v>0.671875</v>
      </c>
      <c r="D89">
        <v>0</v>
      </c>
      <c r="E89">
        <v>0</v>
      </c>
    </row>
    <row r="90" spans="1:5" x14ac:dyDescent="0.3">
      <c r="A90">
        <v>89</v>
      </c>
      <c r="B90">
        <v>0</v>
      </c>
      <c r="C90">
        <v>0.65625</v>
      </c>
      <c r="D90">
        <v>0</v>
      </c>
      <c r="E90">
        <v>0</v>
      </c>
    </row>
    <row r="91" spans="1:5" x14ac:dyDescent="0.3">
      <c r="A91">
        <v>90</v>
      </c>
      <c r="B91">
        <v>0</v>
      </c>
      <c r="C91">
        <v>0.640625</v>
      </c>
      <c r="D91">
        <v>0</v>
      </c>
      <c r="E91">
        <v>0</v>
      </c>
    </row>
    <row r="92" spans="1:5" x14ac:dyDescent="0.3">
      <c r="A92">
        <v>91</v>
      </c>
      <c r="B92">
        <v>0</v>
      </c>
      <c r="C92">
        <v>0.640625</v>
      </c>
      <c r="D92">
        <v>0</v>
      </c>
      <c r="E92">
        <v>0</v>
      </c>
    </row>
    <row r="93" spans="1:5" x14ac:dyDescent="0.3">
      <c r="A93">
        <v>92</v>
      </c>
      <c r="B93">
        <v>0</v>
      </c>
      <c r="C93">
        <v>0.640625</v>
      </c>
      <c r="D93">
        <v>0</v>
      </c>
      <c r="E93">
        <v>0</v>
      </c>
    </row>
    <row r="94" spans="1:5" x14ac:dyDescent="0.3">
      <c r="A94">
        <v>93</v>
      </c>
      <c r="B94">
        <v>0</v>
      </c>
      <c r="C94">
        <v>0.65625</v>
      </c>
      <c r="D94">
        <v>0</v>
      </c>
      <c r="E94">
        <v>0</v>
      </c>
    </row>
    <row r="95" spans="1:5" x14ac:dyDescent="0.3">
      <c r="A95">
        <v>94</v>
      </c>
      <c r="B95">
        <v>0</v>
      </c>
      <c r="C95">
        <v>0.625</v>
      </c>
      <c r="D95">
        <v>0</v>
      </c>
      <c r="E95">
        <v>0</v>
      </c>
    </row>
    <row r="96" spans="1:5" x14ac:dyDescent="0.3">
      <c r="A96">
        <v>95</v>
      </c>
      <c r="B96">
        <v>0</v>
      </c>
      <c r="C96">
        <v>0.6875</v>
      </c>
      <c r="D96">
        <v>0</v>
      </c>
      <c r="E96">
        <v>0</v>
      </c>
    </row>
    <row r="97" spans="1:5" x14ac:dyDescent="0.3">
      <c r="A97">
        <v>96</v>
      </c>
      <c r="B97">
        <v>0</v>
      </c>
      <c r="C97">
        <v>0.65625</v>
      </c>
      <c r="D97">
        <v>0</v>
      </c>
      <c r="E97">
        <v>0</v>
      </c>
    </row>
    <row r="98" spans="1:5" x14ac:dyDescent="0.3">
      <c r="A98">
        <v>97</v>
      </c>
      <c r="B98">
        <v>0</v>
      </c>
      <c r="C98">
        <v>0.625</v>
      </c>
      <c r="D98">
        <v>0</v>
      </c>
      <c r="E98">
        <v>0</v>
      </c>
    </row>
    <row r="99" spans="1:5" x14ac:dyDescent="0.3">
      <c r="A99">
        <v>98</v>
      </c>
      <c r="B99">
        <v>0</v>
      </c>
      <c r="C99">
        <v>0.640625</v>
      </c>
      <c r="D99">
        <v>0</v>
      </c>
      <c r="E99">
        <v>0</v>
      </c>
    </row>
    <row r="100" spans="1:5" x14ac:dyDescent="0.3">
      <c r="A100">
        <v>99</v>
      </c>
      <c r="B100">
        <v>0</v>
      </c>
      <c r="C100">
        <v>0.65625</v>
      </c>
      <c r="D100">
        <v>0</v>
      </c>
      <c r="E100">
        <v>0</v>
      </c>
    </row>
    <row r="101" spans="1:5" x14ac:dyDescent="0.3">
      <c r="A101">
        <v>100</v>
      </c>
      <c r="B101">
        <v>0</v>
      </c>
      <c r="C101">
        <v>0.625</v>
      </c>
      <c r="D101">
        <v>0</v>
      </c>
      <c r="E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09E2-6375-4F68-94E5-61DB0E0A08BE}">
  <dimension ref="A1:K101"/>
  <sheetViews>
    <sheetView tabSelected="1" zoomScale="109" zoomScaleNormal="109" workbookViewId="0">
      <selection activeCell="K11" sqref="K11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1</v>
      </c>
      <c r="B2">
        <v>0</v>
      </c>
      <c r="C2">
        <v>2.875</v>
      </c>
      <c r="D2">
        <v>0</v>
      </c>
      <c r="E2">
        <v>0</v>
      </c>
      <c r="G2" t="s">
        <v>5</v>
      </c>
      <c r="H2">
        <f>MIN(B2:B101)</f>
        <v>0</v>
      </c>
      <c r="I2">
        <f t="shared" ref="I2:K2" si="0">MIN(C2:C101)</f>
        <v>2.578125</v>
      </c>
      <c r="J2">
        <f t="shared" si="0"/>
        <v>0</v>
      </c>
      <c r="K2">
        <f t="shared" si="0"/>
        <v>0</v>
      </c>
    </row>
    <row r="3" spans="1:11" x14ac:dyDescent="0.3">
      <c r="A3">
        <v>2</v>
      </c>
      <c r="B3">
        <v>0</v>
      </c>
      <c r="C3">
        <v>2.671875</v>
      </c>
      <c r="D3">
        <v>0</v>
      </c>
      <c r="E3">
        <v>0</v>
      </c>
      <c r="G3" t="s">
        <v>6</v>
      </c>
      <c r="H3">
        <f>MAX(B2:B101)</f>
        <v>1.5625E-2</v>
      </c>
      <c r="I3">
        <f t="shared" ref="I3:K3" si="1">MAX(C2:C101)</f>
        <v>3.375</v>
      </c>
      <c r="J3">
        <f t="shared" si="1"/>
        <v>1.5625E-2</v>
      </c>
      <c r="K3">
        <f t="shared" si="1"/>
        <v>1.5625E-2</v>
      </c>
    </row>
    <row r="4" spans="1:11" x14ac:dyDescent="0.3">
      <c r="A4">
        <v>3</v>
      </c>
      <c r="B4">
        <v>1.5625E-2</v>
      </c>
      <c r="C4">
        <v>2.703125</v>
      </c>
      <c r="D4">
        <v>0</v>
      </c>
      <c r="E4">
        <v>0</v>
      </c>
      <c r="G4" t="s">
        <v>7</v>
      </c>
      <c r="H4">
        <f>AVERAGE(B2:B101)</f>
        <v>6.7187499999999999E-3</v>
      </c>
      <c r="I4">
        <f t="shared" ref="I4:K4" si="2">AVERAGE(C2:C101)</f>
        <v>2.7162500000000001</v>
      </c>
      <c r="J4">
        <f t="shared" si="2"/>
        <v>3.1250000000000001E-4</v>
      </c>
      <c r="K4">
        <f t="shared" si="2"/>
        <v>3.1250000000000001E-4</v>
      </c>
    </row>
    <row r="5" spans="1:11" x14ac:dyDescent="0.3">
      <c r="A5">
        <v>4</v>
      </c>
      <c r="B5">
        <v>0</v>
      </c>
      <c r="C5">
        <v>2.625</v>
      </c>
      <c r="D5">
        <v>0</v>
      </c>
      <c r="E5">
        <v>0</v>
      </c>
      <c r="G5" t="s">
        <v>8</v>
      </c>
      <c r="H5">
        <f>_xlfn.STDEV.S(B2:B101)</f>
        <v>7.7745289368162974E-3</v>
      </c>
      <c r="I5">
        <f t="shared" ref="I5:K5" si="3">_xlfn.STDEV.S(C2:C101)</f>
        <v>0.11170012360618208</v>
      </c>
      <c r="J5">
        <f t="shared" si="3"/>
        <v>2.1985202208795263E-3</v>
      </c>
      <c r="K5">
        <f t="shared" si="3"/>
        <v>2.1985202208795263E-3</v>
      </c>
    </row>
    <row r="6" spans="1:11" x14ac:dyDescent="0.3">
      <c r="A6">
        <v>5</v>
      </c>
      <c r="B6">
        <v>0</v>
      </c>
      <c r="C6">
        <v>2.765625</v>
      </c>
      <c r="D6">
        <v>0</v>
      </c>
      <c r="E6">
        <v>0</v>
      </c>
      <c r="G6" t="s">
        <v>9</v>
      </c>
      <c r="H6">
        <f>H5/H4</f>
        <v>1.1571391905959141</v>
      </c>
      <c r="I6">
        <f t="shared" ref="I6" si="4">I5/I4</f>
        <v>4.1122917112262153E-2</v>
      </c>
      <c r="J6" cm="1">
        <f t="array" ref="J6">IFERROR(J7H5/H4, 0)</f>
        <v>0</v>
      </c>
      <c r="K6">
        <f>K5/K4</f>
        <v>7.035264706814484</v>
      </c>
    </row>
    <row r="7" spans="1:11" x14ac:dyDescent="0.3">
      <c r="A7">
        <v>6</v>
      </c>
      <c r="B7">
        <v>1.5625E-2</v>
      </c>
      <c r="C7">
        <v>2.65625</v>
      </c>
      <c r="D7">
        <v>0</v>
      </c>
      <c r="E7">
        <v>0</v>
      </c>
    </row>
    <row r="8" spans="1:11" x14ac:dyDescent="0.3">
      <c r="A8">
        <v>7</v>
      </c>
      <c r="B8">
        <v>0</v>
      </c>
      <c r="C8">
        <v>2.71875</v>
      </c>
      <c r="D8">
        <v>0</v>
      </c>
      <c r="E8">
        <v>0</v>
      </c>
    </row>
    <row r="9" spans="1:11" x14ac:dyDescent="0.3">
      <c r="A9">
        <v>8</v>
      </c>
      <c r="B9">
        <v>0</v>
      </c>
      <c r="C9">
        <v>2.6875</v>
      </c>
      <c r="D9">
        <v>0</v>
      </c>
      <c r="E9">
        <v>0</v>
      </c>
    </row>
    <row r="10" spans="1:11" x14ac:dyDescent="0.3">
      <c r="A10">
        <v>9</v>
      </c>
      <c r="B10">
        <v>0</v>
      </c>
      <c r="C10">
        <v>2.703125</v>
      </c>
      <c r="D10">
        <v>0</v>
      </c>
      <c r="E10">
        <v>0</v>
      </c>
    </row>
    <row r="11" spans="1:11" x14ac:dyDescent="0.3">
      <c r="A11">
        <v>10</v>
      </c>
      <c r="B11">
        <v>1.5625E-2</v>
      </c>
      <c r="C11">
        <v>2.6875</v>
      </c>
      <c r="D11">
        <v>0</v>
      </c>
      <c r="E11">
        <v>0</v>
      </c>
    </row>
    <row r="12" spans="1:11" x14ac:dyDescent="0.3">
      <c r="A12">
        <v>11</v>
      </c>
      <c r="B12">
        <v>0</v>
      </c>
      <c r="C12">
        <v>2.703125</v>
      </c>
      <c r="D12">
        <v>0</v>
      </c>
      <c r="E12">
        <v>0</v>
      </c>
    </row>
    <row r="13" spans="1:11" x14ac:dyDescent="0.3">
      <c r="A13">
        <v>12</v>
      </c>
      <c r="B13">
        <v>0</v>
      </c>
      <c r="C13">
        <v>2.703125</v>
      </c>
      <c r="D13">
        <v>0</v>
      </c>
      <c r="E13">
        <v>0</v>
      </c>
    </row>
    <row r="14" spans="1:11" x14ac:dyDescent="0.3">
      <c r="A14">
        <v>13</v>
      </c>
      <c r="B14">
        <v>0</v>
      </c>
      <c r="C14">
        <v>2.703125</v>
      </c>
      <c r="D14">
        <v>0</v>
      </c>
      <c r="E14">
        <v>0</v>
      </c>
    </row>
    <row r="15" spans="1:11" x14ac:dyDescent="0.3">
      <c r="A15">
        <v>14</v>
      </c>
      <c r="B15">
        <v>0</v>
      </c>
      <c r="C15">
        <v>2.6875</v>
      </c>
      <c r="D15">
        <v>0</v>
      </c>
      <c r="E15">
        <v>0</v>
      </c>
    </row>
    <row r="16" spans="1:11" x14ac:dyDescent="0.3">
      <c r="A16">
        <v>15</v>
      </c>
      <c r="B16">
        <v>1.5625E-2</v>
      </c>
      <c r="C16">
        <v>2.59375</v>
      </c>
      <c r="D16">
        <v>0</v>
      </c>
      <c r="E16">
        <v>0</v>
      </c>
    </row>
    <row r="17" spans="1:5" x14ac:dyDescent="0.3">
      <c r="A17">
        <v>16</v>
      </c>
      <c r="B17">
        <v>1.5625E-2</v>
      </c>
      <c r="C17">
        <v>2.65625</v>
      </c>
      <c r="D17">
        <v>0</v>
      </c>
      <c r="E17">
        <v>0</v>
      </c>
    </row>
    <row r="18" spans="1:5" x14ac:dyDescent="0.3">
      <c r="A18">
        <v>17</v>
      </c>
      <c r="B18">
        <v>0</v>
      </c>
      <c r="C18">
        <v>2.765625</v>
      </c>
      <c r="D18">
        <v>0</v>
      </c>
      <c r="E18">
        <v>0</v>
      </c>
    </row>
    <row r="19" spans="1:5" x14ac:dyDescent="0.3">
      <c r="A19">
        <v>18</v>
      </c>
      <c r="B19">
        <v>1.5625E-2</v>
      </c>
      <c r="C19">
        <v>2.65625</v>
      </c>
      <c r="D19">
        <v>0</v>
      </c>
      <c r="E19">
        <v>0</v>
      </c>
    </row>
    <row r="20" spans="1:5" x14ac:dyDescent="0.3">
      <c r="A20">
        <v>19</v>
      </c>
      <c r="B20">
        <v>1.5625E-2</v>
      </c>
      <c r="C20">
        <v>2.65625</v>
      </c>
      <c r="D20">
        <v>0</v>
      </c>
      <c r="E20">
        <v>0</v>
      </c>
    </row>
    <row r="21" spans="1:5" x14ac:dyDescent="0.3">
      <c r="A21">
        <v>20</v>
      </c>
      <c r="B21">
        <v>0</v>
      </c>
      <c r="C21">
        <v>2.640625</v>
      </c>
      <c r="D21">
        <v>0</v>
      </c>
      <c r="E21">
        <v>0</v>
      </c>
    </row>
    <row r="22" spans="1:5" x14ac:dyDescent="0.3">
      <c r="A22">
        <v>21</v>
      </c>
      <c r="B22">
        <v>0</v>
      </c>
      <c r="C22">
        <v>2.671875</v>
      </c>
      <c r="D22">
        <v>0</v>
      </c>
      <c r="E22">
        <v>0</v>
      </c>
    </row>
    <row r="23" spans="1:5" x14ac:dyDescent="0.3">
      <c r="A23">
        <v>22</v>
      </c>
      <c r="B23">
        <v>1.5625E-2</v>
      </c>
      <c r="C23">
        <v>2.6875</v>
      </c>
      <c r="D23">
        <v>0</v>
      </c>
      <c r="E23">
        <v>0</v>
      </c>
    </row>
    <row r="24" spans="1:5" x14ac:dyDescent="0.3">
      <c r="A24">
        <v>23</v>
      </c>
      <c r="B24">
        <v>0</v>
      </c>
      <c r="C24">
        <v>2.6875</v>
      </c>
      <c r="D24">
        <v>0</v>
      </c>
      <c r="E24">
        <v>0</v>
      </c>
    </row>
    <row r="25" spans="1:5" x14ac:dyDescent="0.3">
      <c r="A25">
        <v>24</v>
      </c>
      <c r="B25">
        <v>0</v>
      </c>
      <c r="C25">
        <v>2.734375</v>
      </c>
      <c r="D25">
        <v>0</v>
      </c>
      <c r="E25">
        <v>0</v>
      </c>
    </row>
    <row r="26" spans="1:5" x14ac:dyDescent="0.3">
      <c r="A26">
        <v>25</v>
      </c>
      <c r="B26">
        <v>0</v>
      </c>
      <c r="C26">
        <v>2.703125</v>
      </c>
      <c r="D26">
        <v>0</v>
      </c>
      <c r="E26">
        <v>0</v>
      </c>
    </row>
    <row r="27" spans="1:5" x14ac:dyDescent="0.3">
      <c r="A27">
        <v>26</v>
      </c>
      <c r="B27">
        <v>0</v>
      </c>
      <c r="C27">
        <v>2.6875</v>
      </c>
      <c r="D27">
        <v>0</v>
      </c>
      <c r="E27">
        <v>0</v>
      </c>
    </row>
    <row r="28" spans="1:5" x14ac:dyDescent="0.3">
      <c r="A28">
        <v>27</v>
      </c>
      <c r="B28">
        <v>1.5625E-2</v>
      </c>
      <c r="C28">
        <v>2.640625</v>
      </c>
      <c r="D28">
        <v>0</v>
      </c>
      <c r="E28">
        <v>0</v>
      </c>
    </row>
    <row r="29" spans="1:5" x14ac:dyDescent="0.3">
      <c r="A29">
        <v>28</v>
      </c>
      <c r="B29">
        <v>1.5625E-2</v>
      </c>
      <c r="C29">
        <v>2.78125</v>
      </c>
      <c r="D29">
        <v>0</v>
      </c>
      <c r="E29">
        <v>0</v>
      </c>
    </row>
    <row r="30" spans="1:5" x14ac:dyDescent="0.3">
      <c r="A30">
        <v>29</v>
      </c>
      <c r="B30">
        <v>1.5625E-2</v>
      </c>
      <c r="C30">
        <v>2.6875</v>
      </c>
      <c r="D30">
        <v>0</v>
      </c>
      <c r="E30">
        <v>0</v>
      </c>
    </row>
    <row r="31" spans="1:5" x14ac:dyDescent="0.3">
      <c r="A31">
        <v>30</v>
      </c>
      <c r="B31">
        <v>0</v>
      </c>
      <c r="C31">
        <v>2.71875</v>
      </c>
      <c r="D31">
        <v>0</v>
      </c>
      <c r="E31">
        <v>0</v>
      </c>
    </row>
    <row r="32" spans="1:5" x14ac:dyDescent="0.3">
      <c r="A32">
        <v>31</v>
      </c>
      <c r="B32">
        <v>0</v>
      </c>
      <c r="C32">
        <v>2.671875</v>
      </c>
      <c r="D32">
        <v>0</v>
      </c>
      <c r="E32">
        <v>0</v>
      </c>
    </row>
    <row r="33" spans="1:5" x14ac:dyDescent="0.3">
      <c r="A33">
        <v>32</v>
      </c>
      <c r="B33">
        <v>0</v>
      </c>
      <c r="C33">
        <v>2.640625</v>
      </c>
      <c r="D33">
        <v>0</v>
      </c>
      <c r="E33">
        <v>0</v>
      </c>
    </row>
    <row r="34" spans="1:5" x14ac:dyDescent="0.3">
      <c r="A34">
        <v>33</v>
      </c>
      <c r="B34">
        <v>1.5625E-2</v>
      </c>
      <c r="C34">
        <v>2.578125</v>
      </c>
      <c r="D34">
        <v>0</v>
      </c>
      <c r="E34">
        <v>0</v>
      </c>
    </row>
    <row r="35" spans="1:5" x14ac:dyDescent="0.3">
      <c r="A35">
        <v>34</v>
      </c>
      <c r="B35">
        <v>1.5625E-2</v>
      </c>
      <c r="C35">
        <v>2.671875</v>
      </c>
      <c r="D35">
        <v>0</v>
      </c>
      <c r="E35">
        <v>0</v>
      </c>
    </row>
    <row r="36" spans="1:5" x14ac:dyDescent="0.3">
      <c r="A36">
        <v>35</v>
      </c>
      <c r="B36">
        <v>1.5625E-2</v>
      </c>
      <c r="C36">
        <v>2.671875</v>
      </c>
      <c r="D36">
        <v>0</v>
      </c>
      <c r="E36">
        <v>0</v>
      </c>
    </row>
    <row r="37" spans="1:5" x14ac:dyDescent="0.3">
      <c r="A37">
        <v>36</v>
      </c>
      <c r="B37">
        <v>0</v>
      </c>
      <c r="C37">
        <v>2.671875</v>
      </c>
      <c r="D37">
        <v>0</v>
      </c>
      <c r="E37">
        <v>0</v>
      </c>
    </row>
    <row r="38" spans="1:5" x14ac:dyDescent="0.3">
      <c r="A38">
        <v>37</v>
      </c>
      <c r="B38">
        <v>0</v>
      </c>
      <c r="C38">
        <v>2.625</v>
      </c>
      <c r="D38">
        <v>0</v>
      </c>
      <c r="E38">
        <v>0</v>
      </c>
    </row>
    <row r="39" spans="1:5" x14ac:dyDescent="0.3">
      <c r="A39">
        <v>38</v>
      </c>
      <c r="B39">
        <v>0</v>
      </c>
      <c r="C39">
        <v>2.6875</v>
      </c>
      <c r="D39">
        <v>0</v>
      </c>
      <c r="E39">
        <v>0</v>
      </c>
    </row>
    <row r="40" spans="1:5" x14ac:dyDescent="0.3">
      <c r="A40">
        <v>39</v>
      </c>
      <c r="B40">
        <v>1.5625E-2</v>
      </c>
      <c r="C40">
        <v>2.671875</v>
      </c>
      <c r="D40">
        <v>0</v>
      </c>
      <c r="E40">
        <v>0</v>
      </c>
    </row>
    <row r="41" spans="1:5" x14ac:dyDescent="0.3">
      <c r="A41">
        <v>40</v>
      </c>
      <c r="B41">
        <v>1.5625E-2</v>
      </c>
      <c r="C41">
        <v>2.78125</v>
      </c>
      <c r="D41">
        <v>0</v>
      </c>
      <c r="E41">
        <v>0</v>
      </c>
    </row>
    <row r="42" spans="1:5" x14ac:dyDescent="0.3">
      <c r="A42">
        <v>41</v>
      </c>
      <c r="B42">
        <v>0</v>
      </c>
      <c r="C42">
        <v>2.671875</v>
      </c>
      <c r="D42">
        <v>0</v>
      </c>
      <c r="E42">
        <v>0</v>
      </c>
    </row>
    <row r="43" spans="1:5" x14ac:dyDescent="0.3">
      <c r="A43">
        <v>42</v>
      </c>
      <c r="B43">
        <v>0</v>
      </c>
      <c r="C43">
        <v>2.703125</v>
      </c>
      <c r="D43">
        <v>0</v>
      </c>
      <c r="E43">
        <v>0</v>
      </c>
    </row>
    <row r="44" spans="1:5" x14ac:dyDescent="0.3">
      <c r="A44">
        <v>43</v>
      </c>
      <c r="B44">
        <v>1.5625E-2</v>
      </c>
      <c r="C44">
        <v>2.78125</v>
      </c>
      <c r="D44">
        <v>0</v>
      </c>
      <c r="E44">
        <v>0</v>
      </c>
    </row>
    <row r="45" spans="1:5" x14ac:dyDescent="0.3">
      <c r="A45">
        <v>44</v>
      </c>
      <c r="B45">
        <v>1.5625E-2</v>
      </c>
      <c r="C45">
        <v>2.640625</v>
      </c>
      <c r="D45">
        <v>0</v>
      </c>
      <c r="E45">
        <v>0</v>
      </c>
    </row>
    <row r="46" spans="1:5" x14ac:dyDescent="0.3">
      <c r="A46">
        <v>45</v>
      </c>
      <c r="B46">
        <v>1.5625E-2</v>
      </c>
      <c r="C46">
        <v>2.59375</v>
      </c>
      <c r="D46">
        <v>0</v>
      </c>
      <c r="E46">
        <v>0</v>
      </c>
    </row>
    <row r="47" spans="1:5" x14ac:dyDescent="0.3">
      <c r="A47">
        <v>46</v>
      </c>
      <c r="B47">
        <v>0</v>
      </c>
      <c r="C47">
        <v>2.6875</v>
      </c>
      <c r="D47">
        <v>0</v>
      </c>
      <c r="E47">
        <v>0</v>
      </c>
    </row>
    <row r="48" spans="1:5" x14ac:dyDescent="0.3">
      <c r="A48">
        <v>47</v>
      </c>
      <c r="B48">
        <v>0</v>
      </c>
      <c r="C48">
        <v>2.609375</v>
      </c>
      <c r="D48">
        <v>0</v>
      </c>
      <c r="E48">
        <v>0</v>
      </c>
    </row>
    <row r="49" spans="1:5" x14ac:dyDescent="0.3">
      <c r="A49">
        <v>48</v>
      </c>
      <c r="B49">
        <v>1.5625E-2</v>
      </c>
      <c r="C49">
        <v>2.6875</v>
      </c>
      <c r="D49">
        <v>0</v>
      </c>
      <c r="E49">
        <v>0</v>
      </c>
    </row>
    <row r="50" spans="1:5" x14ac:dyDescent="0.3">
      <c r="A50">
        <v>49</v>
      </c>
      <c r="B50">
        <v>1.5625E-2</v>
      </c>
      <c r="C50">
        <v>2.71875</v>
      </c>
      <c r="D50">
        <v>0</v>
      </c>
      <c r="E50">
        <v>0</v>
      </c>
    </row>
    <row r="51" spans="1:5" x14ac:dyDescent="0.3">
      <c r="A51">
        <v>50</v>
      </c>
      <c r="B51">
        <v>0</v>
      </c>
      <c r="C51">
        <v>2.703125</v>
      </c>
      <c r="D51">
        <v>0</v>
      </c>
      <c r="E51">
        <v>0</v>
      </c>
    </row>
    <row r="52" spans="1:5" x14ac:dyDescent="0.3">
      <c r="A52">
        <v>51</v>
      </c>
      <c r="B52">
        <v>1.5625E-2</v>
      </c>
      <c r="C52">
        <v>2.65625</v>
      </c>
      <c r="D52">
        <v>0</v>
      </c>
      <c r="E52">
        <v>1.5625E-2</v>
      </c>
    </row>
    <row r="53" spans="1:5" x14ac:dyDescent="0.3">
      <c r="A53">
        <v>52</v>
      </c>
      <c r="B53">
        <v>0</v>
      </c>
      <c r="C53">
        <v>2.65625</v>
      </c>
      <c r="D53">
        <v>0</v>
      </c>
      <c r="E53">
        <v>0</v>
      </c>
    </row>
    <row r="54" spans="1:5" x14ac:dyDescent="0.3">
      <c r="A54">
        <v>53</v>
      </c>
      <c r="B54">
        <v>1.5625E-2</v>
      </c>
      <c r="C54">
        <v>2.703125</v>
      </c>
      <c r="D54">
        <v>0</v>
      </c>
      <c r="E54">
        <v>0</v>
      </c>
    </row>
    <row r="55" spans="1:5" x14ac:dyDescent="0.3">
      <c r="A55">
        <v>54</v>
      </c>
      <c r="B55">
        <v>0</v>
      </c>
      <c r="C55">
        <v>2.703125</v>
      </c>
      <c r="D55">
        <v>0</v>
      </c>
      <c r="E55">
        <v>0</v>
      </c>
    </row>
    <row r="56" spans="1:5" x14ac:dyDescent="0.3">
      <c r="A56">
        <v>55</v>
      </c>
      <c r="B56">
        <v>0</v>
      </c>
      <c r="C56">
        <v>2.671875</v>
      </c>
      <c r="D56">
        <v>0</v>
      </c>
      <c r="E56">
        <v>0</v>
      </c>
    </row>
    <row r="57" spans="1:5" x14ac:dyDescent="0.3">
      <c r="A57">
        <v>56</v>
      </c>
      <c r="B57">
        <v>1.5625E-2</v>
      </c>
      <c r="C57">
        <v>2.671875</v>
      </c>
      <c r="D57">
        <v>0</v>
      </c>
      <c r="E57">
        <v>0</v>
      </c>
    </row>
    <row r="58" spans="1:5" x14ac:dyDescent="0.3">
      <c r="A58">
        <v>57</v>
      </c>
      <c r="B58">
        <v>0</v>
      </c>
      <c r="C58">
        <v>2.765625</v>
      </c>
      <c r="D58">
        <v>0</v>
      </c>
      <c r="E58">
        <v>0</v>
      </c>
    </row>
    <row r="59" spans="1:5" x14ac:dyDescent="0.3">
      <c r="A59">
        <v>58</v>
      </c>
      <c r="B59">
        <v>0</v>
      </c>
      <c r="C59">
        <v>2.921875</v>
      </c>
      <c r="D59">
        <v>0</v>
      </c>
      <c r="E59">
        <v>1.5625E-2</v>
      </c>
    </row>
    <row r="60" spans="1:5" x14ac:dyDescent="0.3">
      <c r="A60">
        <v>59</v>
      </c>
      <c r="B60">
        <v>0</v>
      </c>
      <c r="C60">
        <v>3.375</v>
      </c>
      <c r="D60">
        <v>0</v>
      </c>
      <c r="E60">
        <v>0</v>
      </c>
    </row>
    <row r="61" spans="1:5" x14ac:dyDescent="0.3">
      <c r="A61">
        <v>60</v>
      </c>
      <c r="B61">
        <v>1.5625E-2</v>
      </c>
      <c r="C61">
        <v>2.9375</v>
      </c>
      <c r="D61">
        <v>0</v>
      </c>
      <c r="E61">
        <v>0</v>
      </c>
    </row>
    <row r="62" spans="1:5" x14ac:dyDescent="0.3">
      <c r="A62">
        <v>61</v>
      </c>
      <c r="B62">
        <v>0</v>
      </c>
      <c r="C62">
        <v>3.125</v>
      </c>
      <c r="D62">
        <v>0</v>
      </c>
      <c r="E62">
        <v>0</v>
      </c>
    </row>
    <row r="63" spans="1:5" x14ac:dyDescent="0.3">
      <c r="A63">
        <v>62</v>
      </c>
      <c r="B63">
        <v>0</v>
      </c>
      <c r="C63">
        <v>2.9375</v>
      </c>
      <c r="D63">
        <v>0</v>
      </c>
      <c r="E63">
        <v>0</v>
      </c>
    </row>
    <row r="64" spans="1:5" x14ac:dyDescent="0.3">
      <c r="A64">
        <v>63</v>
      </c>
      <c r="B64">
        <v>1.5625E-2</v>
      </c>
      <c r="C64">
        <v>2.984375</v>
      </c>
      <c r="D64">
        <v>0</v>
      </c>
      <c r="E64">
        <v>0</v>
      </c>
    </row>
    <row r="65" spans="1:5" x14ac:dyDescent="0.3">
      <c r="A65">
        <v>64</v>
      </c>
      <c r="B65">
        <v>1.5625E-2</v>
      </c>
      <c r="C65">
        <v>2.9375</v>
      </c>
      <c r="D65">
        <v>0</v>
      </c>
      <c r="E65">
        <v>0</v>
      </c>
    </row>
    <row r="66" spans="1:5" x14ac:dyDescent="0.3">
      <c r="A66">
        <v>65</v>
      </c>
      <c r="B66">
        <v>1.5625E-2</v>
      </c>
      <c r="C66">
        <v>2.734375</v>
      </c>
      <c r="D66">
        <v>0</v>
      </c>
      <c r="E66">
        <v>0</v>
      </c>
    </row>
    <row r="67" spans="1:5" x14ac:dyDescent="0.3">
      <c r="A67">
        <v>66</v>
      </c>
      <c r="B67">
        <v>0</v>
      </c>
      <c r="C67">
        <v>2.8125</v>
      </c>
      <c r="D67">
        <v>0</v>
      </c>
      <c r="E67">
        <v>0</v>
      </c>
    </row>
    <row r="68" spans="1:5" x14ac:dyDescent="0.3">
      <c r="A68">
        <v>67</v>
      </c>
      <c r="B68">
        <v>0</v>
      </c>
      <c r="C68">
        <v>2.796875</v>
      </c>
      <c r="D68">
        <v>0</v>
      </c>
      <c r="E68">
        <v>0</v>
      </c>
    </row>
    <row r="69" spans="1:5" x14ac:dyDescent="0.3">
      <c r="A69">
        <v>68</v>
      </c>
      <c r="B69">
        <v>0</v>
      </c>
      <c r="C69">
        <v>2.734375</v>
      </c>
      <c r="D69">
        <v>0</v>
      </c>
      <c r="E69">
        <v>0</v>
      </c>
    </row>
    <row r="70" spans="1:5" x14ac:dyDescent="0.3">
      <c r="A70">
        <v>69</v>
      </c>
      <c r="B70">
        <v>0</v>
      </c>
      <c r="C70">
        <v>2.65625</v>
      </c>
      <c r="D70">
        <v>0</v>
      </c>
      <c r="E70">
        <v>0</v>
      </c>
    </row>
    <row r="71" spans="1:5" x14ac:dyDescent="0.3">
      <c r="A71">
        <v>70</v>
      </c>
      <c r="B71">
        <v>0</v>
      </c>
      <c r="C71">
        <v>2.96875</v>
      </c>
      <c r="D71">
        <v>0</v>
      </c>
      <c r="E71">
        <v>0</v>
      </c>
    </row>
    <row r="72" spans="1:5" x14ac:dyDescent="0.3">
      <c r="A72">
        <v>71</v>
      </c>
      <c r="B72">
        <v>0</v>
      </c>
      <c r="C72">
        <v>2.640625</v>
      </c>
      <c r="D72">
        <v>1.5625E-2</v>
      </c>
      <c r="E72">
        <v>0</v>
      </c>
    </row>
    <row r="73" spans="1:5" x14ac:dyDescent="0.3">
      <c r="A73">
        <v>72</v>
      </c>
      <c r="B73">
        <v>0</v>
      </c>
      <c r="C73">
        <v>2.6875</v>
      </c>
      <c r="D73">
        <v>0</v>
      </c>
      <c r="E73">
        <v>0</v>
      </c>
    </row>
    <row r="74" spans="1:5" x14ac:dyDescent="0.3">
      <c r="A74">
        <v>73</v>
      </c>
      <c r="B74">
        <v>1.5625E-2</v>
      </c>
      <c r="C74">
        <v>2.625</v>
      </c>
      <c r="D74">
        <v>0</v>
      </c>
      <c r="E74">
        <v>0</v>
      </c>
    </row>
    <row r="75" spans="1:5" x14ac:dyDescent="0.3">
      <c r="A75">
        <v>74</v>
      </c>
      <c r="B75">
        <v>1.5625E-2</v>
      </c>
      <c r="C75">
        <v>2.734375</v>
      </c>
      <c r="D75">
        <v>0</v>
      </c>
      <c r="E75">
        <v>0</v>
      </c>
    </row>
    <row r="76" spans="1:5" x14ac:dyDescent="0.3">
      <c r="A76">
        <v>75</v>
      </c>
      <c r="B76">
        <v>0</v>
      </c>
      <c r="C76">
        <v>2.765625</v>
      </c>
      <c r="D76">
        <v>0</v>
      </c>
      <c r="E76">
        <v>0</v>
      </c>
    </row>
    <row r="77" spans="1:5" x14ac:dyDescent="0.3">
      <c r="A77">
        <v>76</v>
      </c>
      <c r="B77">
        <v>1.5625E-2</v>
      </c>
      <c r="C77">
        <v>2.671875</v>
      </c>
      <c r="D77">
        <v>0</v>
      </c>
      <c r="E77">
        <v>0</v>
      </c>
    </row>
    <row r="78" spans="1:5" x14ac:dyDescent="0.3">
      <c r="A78">
        <v>77</v>
      </c>
      <c r="B78">
        <v>0</v>
      </c>
      <c r="C78">
        <v>2.671875</v>
      </c>
      <c r="D78">
        <v>0</v>
      </c>
      <c r="E78">
        <v>0</v>
      </c>
    </row>
    <row r="79" spans="1:5" x14ac:dyDescent="0.3">
      <c r="A79">
        <v>78</v>
      </c>
      <c r="B79">
        <v>1.5625E-2</v>
      </c>
      <c r="C79">
        <v>2.578125</v>
      </c>
      <c r="D79">
        <v>0</v>
      </c>
      <c r="E79">
        <v>0</v>
      </c>
    </row>
    <row r="80" spans="1:5" x14ac:dyDescent="0.3">
      <c r="A80">
        <v>79</v>
      </c>
      <c r="B80">
        <v>0</v>
      </c>
      <c r="C80">
        <v>2.6875</v>
      </c>
      <c r="D80">
        <v>0</v>
      </c>
      <c r="E80">
        <v>0</v>
      </c>
    </row>
    <row r="81" spans="1:5" x14ac:dyDescent="0.3">
      <c r="A81">
        <v>80</v>
      </c>
      <c r="B81">
        <v>0</v>
      </c>
      <c r="C81">
        <v>2.734375</v>
      </c>
      <c r="D81">
        <v>0</v>
      </c>
      <c r="E81">
        <v>0</v>
      </c>
    </row>
    <row r="82" spans="1:5" x14ac:dyDescent="0.3">
      <c r="A82">
        <v>81</v>
      </c>
      <c r="B82">
        <v>1.5625E-2</v>
      </c>
      <c r="C82">
        <v>2.6875</v>
      </c>
      <c r="D82">
        <v>0</v>
      </c>
      <c r="E82">
        <v>0</v>
      </c>
    </row>
    <row r="83" spans="1:5" x14ac:dyDescent="0.3">
      <c r="A83">
        <v>82</v>
      </c>
      <c r="B83">
        <v>0</v>
      </c>
      <c r="C83">
        <v>2.703125</v>
      </c>
      <c r="D83">
        <v>0</v>
      </c>
      <c r="E83">
        <v>0</v>
      </c>
    </row>
    <row r="84" spans="1:5" x14ac:dyDescent="0.3">
      <c r="A84">
        <v>83</v>
      </c>
      <c r="B84">
        <v>1.5625E-2</v>
      </c>
      <c r="C84">
        <v>2.640625</v>
      </c>
      <c r="D84">
        <v>0</v>
      </c>
      <c r="E84">
        <v>0</v>
      </c>
    </row>
    <row r="85" spans="1:5" x14ac:dyDescent="0.3">
      <c r="A85">
        <v>84</v>
      </c>
      <c r="B85">
        <v>1.5625E-2</v>
      </c>
      <c r="C85">
        <v>2.6875</v>
      </c>
      <c r="D85">
        <v>0</v>
      </c>
      <c r="E85">
        <v>0</v>
      </c>
    </row>
    <row r="86" spans="1:5" x14ac:dyDescent="0.3">
      <c r="A86">
        <v>85</v>
      </c>
      <c r="B86">
        <v>0</v>
      </c>
      <c r="C86">
        <v>2.734375</v>
      </c>
      <c r="D86">
        <v>0</v>
      </c>
      <c r="E86">
        <v>0</v>
      </c>
    </row>
    <row r="87" spans="1:5" x14ac:dyDescent="0.3">
      <c r="A87">
        <v>86</v>
      </c>
      <c r="B87">
        <v>1.5625E-2</v>
      </c>
      <c r="C87">
        <v>2.625</v>
      </c>
      <c r="D87">
        <v>0</v>
      </c>
      <c r="E87">
        <v>0</v>
      </c>
    </row>
    <row r="88" spans="1:5" x14ac:dyDescent="0.3">
      <c r="A88">
        <v>87</v>
      </c>
      <c r="B88">
        <v>1.5625E-2</v>
      </c>
      <c r="C88">
        <v>2.625</v>
      </c>
      <c r="D88">
        <v>0</v>
      </c>
      <c r="E88">
        <v>0</v>
      </c>
    </row>
    <row r="89" spans="1:5" x14ac:dyDescent="0.3">
      <c r="A89">
        <v>88</v>
      </c>
      <c r="B89">
        <v>1.5625E-2</v>
      </c>
      <c r="C89">
        <v>2.671875</v>
      </c>
      <c r="D89">
        <v>0</v>
      </c>
      <c r="E89">
        <v>0</v>
      </c>
    </row>
    <row r="90" spans="1:5" x14ac:dyDescent="0.3">
      <c r="A90">
        <v>89</v>
      </c>
      <c r="B90">
        <v>1.5625E-2</v>
      </c>
      <c r="C90">
        <v>2.703125</v>
      </c>
      <c r="D90">
        <v>0</v>
      </c>
      <c r="E90">
        <v>0</v>
      </c>
    </row>
    <row r="91" spans="1:5" x14ac:dyDescent="0.3">
      <c r="A91">
        <v>90</v>
      </c>
      <c r="B91">
        <v>0</v>
      </c>
      <c r="C91">
        <v>2.71875</v>
      </c>
      <c r="D91">
        <v>0</v>
      </c>
      <c r="E91">
        <v>0</v>
      </c>
    </row>
    <row r="92" spans="1:5" x14ac:dyDescent="0.3">
      <c r="A92">
        <v>91</v>
      </c>
      <c r="B92">
        <v>1.5625E-2</v>
      </c>
      <c r="C92">
        <v>2.75</v>
      </c>
      <c r="D92">
        <v>0</v>
      </c>
      <c r="E92">
        <v>0</v>
      </c>
    </row>
    <row r="93" spans="1:5" x14ac:dyDescent="0.3">
      <c r="A93">
        <v>92</v>
      </c>
      <c r="B93">
        <v>0</v>
      </c>
      <c r="C93">
        <v>2.734375</v>
      </c>
      <c r="D93">
        <v>1.5625E-2</v>
      </c>
      <c r="E93">
        <v>0</v>
      </c>
    </row>
    <row r="94" spans="1:5" x14ac:dyDescent="0.3">
      <c r="A94">
        <v>93</v>
      </c>
      <c r="B94">
        <v>0</v>
      </c>
      <c r="C94">
        <v>2.625</v>
      </c>
      <c r="D94">
        <v>0</v>
      </c>
      <c r="E94">
        <v>0</v>
      </c>
    </row>
    <row r="95" spans="1:5" x14ac:dyDescent="0.3">
      <c r="A95">
        <v>94</v>
      </c>
      <c r="B95">
        <v>1.5625E-2</v>
      </c>
      <c r="C95">
        <v>2.734375</v>
      </c>
      <c r="D95">
        <v>0</v>
      </c>
      <c r="E95">
        <v>0</v>
      </c>
    </row>
    <row r="96" spans="1:5" x14ac:dyDescent="0.3">
      <c r="A96">
        <v>95</v>
      </c>
      <c r="B96">
        <v>0</v>
      </c>
      <c r="C96">
        <v>2.671875</v>
      </c>
      <c r="D96">
        <v>0</v>
      </c>
      <c r="E96">
        <v>0</v>
      </c>
    </row>
    <row r="97" spans="1:5" x14ac:dyDescent="0.3">
      <c r="A97">
        <v>96</v>
      </c>
      <c r="B97">
        <v>1.5625E-2</v>
      </c>
      <c r="C97">
        <v>2.734375</v>
      </c>
      <c r="D97">
        <v>0</v>
      </c>
      <c r="E97">
        <v>0</v>
      </c>
    </row>
    <row r="98" spans="1:5" x14ac:dyDescent="0.3">
      <c r="A98">
        <v>97</v>
      </c>
      <c r="B98">
        <v>1.5625E-2</v>
      </c>
      <c r="C98">
        <v>2.671875</v>
      </c>
      <c r="D98">
        <v>0</v>
      </c>
      <c r="E98">
        <v>0</v>
      </c>
    </row>
    <row r="99" spans="1:5" x14ac:dyDescent="0.3">
      <c r="A99">
        <v>98</v>
      </c>
      <c r="B99">
        <v>0</v>
      </c>
      <c r="C99">
        <v>2.640625</v>
      </c>
      <c r="D99">
        <v>0</v>
      </c>
      <c r="E99">
        <v>0</v>
      </c>
    </row>
    <row r="100" spans="1:5" x14ac:dyDescent="0.3">
      <c r="A100">
        <v>99</v>
      </c>
      <c r="B100">
        <v>0</v>
      </c>
      <c r="C100">
        <v>2.734375</v>
      </c>
      <c r="D100">
        <v>0</v>
      </c>
      <c r="E100">
        <v>0</v>
      </c>
    </row>
    <row r="101" spans="1:5" x14ac:dyDescent="0.3">
      <c r="A101">
        <v>100</v>
      </c>
      <c r="B101">
        <v>0</v>
      </c>
      <c r="C101">
        <v>2.65625</v>
      </c>
      <c r="D101">
        <v>0</v>
      </c>
      <c r="E1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4D03-23FD-4AA3-A021-1DE4F3F67EAF}">
  <dimension ref="A1:L13"/>
  <sheetViews>
    <sheetView zoomScale="106" workbookViewId="0">
      <selection activeCell="L11" sqref="L11"/>
    </sheetView>
  </sheetViews>
  <sheetFormatPr baseColWidth="10" defaultRowHeight="14.4" x14ac:dyDescent="0.3"/>
  <sheetData>
    <row r="1" spans="1:12" x14ac:dyDescent="0.3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</row>
    <row r="2" spans="1:12" x14ac:dyDescent="0.3">
      <c r="A2">
        <v>1024</v>
      </c>
      <c r="B2">
        <f>'1024'!H4</f>
        <v>9.3749999999999997E-4</v>
      </c>
      <c r="C2">
        <f>'1024'!I4</f>
        <v>4.6874999999999998E-3</v>
      </c>
      <c r="D2">
        <f>'1024'!J4</f>
        <v>6.2500000000000001E-4</v>
      </c>
      <c r="E2">
        <f>'1024'!K4</f>
        <v>1.5625E-4</v>
      </c>
    </row>
    <row r="3" spans="1:12" x14ac:dyDescent="0.3">
      <c r="A3">
        <v>2048</v>
      </c>
      <c r="B3">
        <f>'2048'!H4</f>
        <v>4.6874999999999998E-4</v>
      </c>
      <c r="C3">
        <f>'2048'!I4</f>
        <v>1.1875E-2</v>
      </c>
      <c r="D3">
        <v>1E-4</v>
      </c>
      <c r="E3">
        <f>'2048'!K4</f>
        <v>1.5625E-4</v>
      </c>
      <c r="F3">
        <f>C3/C2</f>
        <v>2.5333333333333337</v>
      </c>
      <c r="G3">
        <f>LOG(F3, 2)</f>
        <v>1.3410369178350672</v>
      </c>
    </row>
    <row r="4" spans="1:12" x14ac:dyDescent="0.3">
      <c r="A4">
        <v>4096</v>
      </c>
      <c r="B4">
        <f>'4096'!H4</f>
        <v>6.2500000000000001E-4</v>
      </c>
      <c r="C4">
        <f>'4096'!I4</f>
        <v>4.4531250000000001E-2</v>
      </c>
      <c r="D4">
        <v>1E-4</v>
      </c>
      <c r="E4">
        <f>'4096'!K4</f>
        <v>4.6874999999999998E-4</v>
      </c>
      <c r="F4">
        <f t="shared" ref="F4:F6" si="0">C4/C3</f>
        <v>3.75</v>
      </c>
      <c r="G4">
        <f t="shared" ref="G4:G7" si="1">LOG(F4, 2)</f>
        <v>1.9068905956085187</v>
      </c>
    </row>
    <row r="5" spans="1:12" x14ac:dyDescent="0.3">
      <c r="A5">
        <v>8192</v>
      </c>
      <c r="B5">
        <f>'8192'!H4</f>
        <v>9.3749999999999997E-4</v>
      </c>
      <c r="C5">
        <f>'8192'!I4</f>
        <v>0.16500000000000001</v>
      </c>
      <c r="D5">
        <f>'8192'!J4</f>
        <v>1.5625E-4</v>
      </c>
      <c r="E5">
        <f>'8192'!K4</f>
        <v>4.6874999999999998E-4</v>
      </c>
      <c r="F5">
        <f t="shared" si="0"/>
        <v>3.7052631578947368</v>
      </c>
      <c r="G5">
        <f t="shared" si="1"/>
        <v>1.8895760103063495</v>
      </c>
    </row>
    <row r="6" spans="1:12" x14ac:dyDescent="0.3">
      <c r="A6">
        <v>16384</v>
      </c>
      <c r="B6">
        <f>'16384'!H4</f>
        <v>2.5000000000000001E-3</v>
      </c>
      <c r="C6">
        <f>'16384'!I4</f>
        <v>0.64968749999999997</v>
      </c>
      <c r="D6">
        <f>'16384'!J4</f>
        <v>3.1250000000000001E-4</v>
      </c>
      <c r="E6">
        <f>'16384'!K4</f>
        <v>3.1250000000000001E-4</v>
      </c>
      <c r="F6">
        <f t="shared" si="0"/>
        <v>3.9374999999999996</v>
      </c>
      <c r="G6">
        <f t="shared" si="1"/>
        <v>1.9772799234999165</v>
      </c>
    </row>
    <row r="7" spans="1:12" x14ac:dyDescent="0.3">
      <c r="A7">
        <v>32768</v>
      </c>
      <c r="B7">
        <f>'32768'!H4</f>
        <v>6.7187499999999999E-3</v>
      </c>
      <c r="C7">
        <f>'32768'!I4</f>
        <v>2.7162500000000001</v>
      </c>
      <c r="D7">
        <f>'32768'!J4</f>
        <v>3.1250000000000001E-4</v>
      </c>
      <c r="E7">
        <f>'32768'!K4</f>
        <v>3.1250000000000001E-4</v>
      </c>
      <c r="F7">
        <f>C7/C6</f>
        <v>4.180856180856181</v>
      </c>
      <c r="G7">
        <f t="shared" si="1"/>
        <v>2.0637984163229133</v>
      </c>
    </row>
    <row r="13" spans="1:12" x14ac:dyDescent="0.3">
      <c r="L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1024</vt:lpstr>
      <vt:lpstr>2048</vt:lpstr>
      <vt:lpstr>4096</vt:lpstr>
      <vt:lpstr>8192</vt:lpstr>
      <vt:lpstr>16384</vt:lpstr>
      <vt:lpstr>32768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Gómez Olate</dc:creator>
  <cp:lastModifiedBy>Vicente Gómez Olate</cp:lastModifiedBy>
  <dcterms:created xsi:type="dcterms:W3CDTF">2026-04-26T07:29:11Z</dcterms:created>
  <dcterms:modified xsi:type="dcterms:W3CDTF">2026-04-26T11:16:21Z</dcterms:modified>
</cp:coreProperties>
</file>